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<sst xmlns="http://schemas.openxmlformats.org/spreadsheetml/2006/main" count="475" uniqueCount="55">
  <si>
    <t>Fecha</t>
  </si>
  <si>
    <t>Ingrediente</t>
  </si>
  <si>
    <t>Precio_Original</t>
  </si>
  <si>
    <t>Precio_EUR</t>
  </si>
  <si>
    <t>Moneda_Original</t>
  </si>
  <si>
    <t>Unidad_Original</t>
  </si>
  <si>
    <t>Fuente_Link</t>
  </si>
  <si>
    <t>Cacao</t>
  </si>
  <si>
    <t>USD</t>
  </si>
  <si>
    <t>Tonelada</t>
  </si>
  <si>
    <t>https://es.investing.com/commodities/us-cocoa-historical-data</t>
  </si>
  <si>
    <t>Pistacho</t>
  </si>
  <si>
    <t>EUR</t>
  </si>
  <si>
    <t>Kg</t>
  </si>
  <si>
    <t>https://pistachopro.es/precio-del-pistacho-en-la-lonja-de-albacete-actualizado-y-evolucion-historica/</t>
  </si>
  <si>
    <t>Kataifi</t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</si>
  <si>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</si>
  <si>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</si>
  <si>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</si>
  <si>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</si>
  <si>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</si>
  <si>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</si>
  <si>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</si>
  <si>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</si>
  <si>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</si>
  <si>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</si>
  <si>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</si>
  <si>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</si>
  <si>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</si>
  <si>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</si>
  <si>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</si>
  <si>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</si>
  <si>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</si>
  <si>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</si>
  <si>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</si>
  <si>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</si>
  <si>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</si>
  <si>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</si>
  <si>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</si>
  <si>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</si>
  <si>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</si>
  <si>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</si>
  <si>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</si>
  <si>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</si>
  <si>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</si>
  <si>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</si>
  <si>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</si>
  <si>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</si>
  <si>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</si>
  <si>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</si>
  <si>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</si>
  <si>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</si>
  <si>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</si>
  <si>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</si>
  <si>
    <r>
      <rPr>
        <color rgb="FF1155CC"/>
        <u/>
      </rPr>
      <t>https://fdcm.eu/es/products/masa-kataifi-asado/</t>
    </r>
    <r>
      <rPr>
        <color rgb="FF000000"/>
      </rPr>
      <t xml:space="preserve"> - </t>
    </r>
    <r>
      <rPr>
        <color rgb="FF1155CC"/>
        <u/>
      </rPr>
      <t>https://www.ine.es/jaxiT3/Datos.htm?t=61671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</si>
</sst>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istachopro.es/precio-del-pistacho-en-la-lonja-de-albacete-actualizado-y-evolucion-historica/" TargetMode="External"/><Relationship Id="rId42" Type="http://schemas.openxmlformats.org/officeDocument/2006/relationships/hyperlink" Target="https://pistachopro.es/precio-del-pistacho-en-la-lonja-de-albacete-actualizado-y-evolucion-historica/" TargetMode="External"/><Relationship Id="rId41" Type="http://schemas.openxmlformats.org/officeDocument/2006/relationships/hyperlink" Target="https://pistachopro.es/precio-del-pistacho-en-la-lonja-de-albacete-actualizado-y-evolucion-historica/" TargetMode="External"/><Relationship Id="rId44" Type="http://schemas.openxmlformats.org/officeDocument/2006/relationships/hyperlink" Target="https://pistachopro.es/precio-del-pistacho-en-la-lonja-de-albacete-actualizado-y-evolucion-historica/" TargetMode="External"/><Relationship Id="rId43" Type="http://schemas.openxmlformats.org/officeDocument/2006/relationships/hyperlink" Target="https://pistachopro.es/precio-del-pistacho-en-la-lonja-de-albacete-actualizado-y-evolucion-historica/" TargetMode="External"/><Relationship Id="rId46" Type="http://schemas.openxmlformats.org/officeDocument/2006/relationships/hyperlink" Target="https://pistachopro.es/precio-del-pistacho-en-la-lonja-de-albacete-actualizado-y-evolucion-historica/" TargetMode="External"/><Relationship Id="rId45" Type="http://schemas.openxmlformats.org/officeDocument/2006/relationships/hyperlink" Target="https://pistachopro.es/precio-del-pistacho-en-la-lonja-de-albacete-actualizado-y-evolucion-historica/" TargetMode="External"/><Relationship Id="rId107" Type="http://schemas.openxmlformats.org/officeDocument/2006/relationships/hyperlink" Target="https://fdcm.eu/es/products/masa-kataifi-asado/" TargetMode="External"/><Relationship Id="rId106" Type="http://schemas.openxmlformats.org/officeDocument/2006/relationships/hyperlink" Target="https://fdcm.eu/es/products/masa-kataifi-asado/" TargetMode="External"/><Relationship Id="rId105" Type="http://schemas.openxmlformats.org/officeDocument/2006/relationships/hyperlink" Target="https://fdcm.eu/es/products/masa-kataifi-asado/" TargetMode="External"/><Relationship Id="rId104" Type="http://schemas.openxmlformats.org/officeDocument/2006/relationships/hyperlink" Target="https://fdcm.eu/es/products/masa-kataifi-asado/" TargetMode="External"/><Relationship Id="rId109" Type="http://schemas.openxmlformats.org/officeDocument/2006/relationships/hyperlink" Target="https://fdcm.eu/es/products/masa-kataifi-asado/" TargetMode="External"/><Relationship Id="rId108" Type="http://schemas.openxmlformats.org/officeDocument/2006/relationships/hyperlink" Target="https://fdcm.eu/es/products/masa-kataifi-asado/" TargetMode="External"/><Relationship Id="rId48" Type="http://schemas.openxmlformats.org/officeDocument/2006/relationships/hyperlink" Target="https://pistachopro.es/precio-del-pistacho-en-la-lonja-de-albacete-actualizado-y-evolucion-historica/" TargetMode="External"/><Relationship Id="rId47" Type="http://schemas.openxmlformats.org/officeDocument/2006/relationships/hyperlink" Target="https://pistachopro.es/precio-del-pistacho-en-la-lonja-de-albacete-actualizado-y-evolucion-historica/" TargetMode="External"/><Relationship Id="rId49" Type="http://schemas.openxmlformats.org/officeDocument/2006/relationships/hyperlink" Target="https://pistachopro.es/precio-del-pistacho-en-la-lonja-de-albacete-actualizado-y-evolucion-historica/" TargetMode="External"/><Relationship Id="rId103" Type="http://schemas.openxmlformats.org/officeDocument/2006/relationships/hyperlink" Target="https://fdcm.eu/es/products/masa-kataifi-asado/" TargetMode="External"/><Relationship Id="rId102" Type="http://schemas.openxmlformats.org/officeDocument/2006/relationships/hyperlink" Target="https://fdcm.eu/es/products/masa-kataifi-asado/" TargetMode="External"/><Relationship Id="rId101" Type="http://schemas.openxmlformats.org/officeDocument/2006/relationships/hyperlink" Target="https://fdcm.eu/es/products/masa-kataifi-asado/" TargetMode="External"/><Relationship Id="rId100" Type="http://schemas.openxmlformats.org/officeDocument/2006/relationships/hyperlink" Target="https://fdcm.eu/es/products/masa-kataifi-asado/" TargetMode="External"/><Relationship Id="rId31" Type="http://schemas.openxmlformats.org/officeDocument/2006/relationships/hyperlink" Target="https://es.investing.com/commodities/us-cocoa-historical-data" TargetMode="External"/><Relationship Id="rId30" Type="http://schemas.openxmlformats.org/officeDocument/2006/relationships/hyperlink" Target="https://es.investing.com/commodities/us-cocoa-historical-data" TargetMode="External"/><Relationship Id="rId33" Type="http://schemas.openxmlformats.org/officeDocument/2006/relationships/hyperlink" Target="https://es.investing.com/commodities/us-cocoa-historical-data" TargetMode="External"/><Relationship Id="rId32" Type="http://schemas.openxmlformats.org/officeDocument/2006/relationships/hyperlink" Target="https://es.investing.com/commodities/us-cocoa-historical-data" TargetMode="External"/><Relationship Id="rId35" Type="http://schemas.openxmlformats.org/officeDocument/2006/relationships/hyperlink" Target="https://es.investing.com/commodities/us-cocoa-historical-data" TargetMode="External"/><Relationship Id="rId34" Type="http://schemas.openxmlformats.org/officeDocument/2006/relationships/hyperlink" Target="https://es.investing.com/commodities/us-cocoa-historical-data" TargetMode="External"/><Relationship Id="rId37" Type="http://schemas.openxmlformats.org/officeDocument/2006/relationships/hyperlink" Target="https://es.investing.com/commodities/us-cocoa-historical-data" TargetMode="External"/><Relationship Id="rId36" Type="http://schemas.openxmlformats.org/officeDocument/2006/relationships/hyperlink" Target="https://es.investing.com/commodities/us-cocoa-historical-data" TargetMode="External"/><Relationship Id="rId39" Type="http://schemas.openxmlformats.org/officeDocument/2006/relationships/hyperlink" Target="https://es.investing.com/commodities/us-cocoa-historical-data" TargetMode="External"/><Relationship Id="rId38" Type="http://schemas.openxmlformats.org/officeDocument/2006/relationships/hyperlink" Target="https://es.investing.com/commodities/us-cocoa-historical-data" TargetMode="External"/><Relationship Id="rId20" Type="http://schemas.openxmlformats.org/officeDocument/2006/relationships/hyperlink" Target="https://es.investing.com/commodities/us-cocoa-historical-data" TargetMode="External"/><Relationship Id="rId22" Type="http://schemas.openxmlformats.org/officeDocument/2006/relationships/hyperlink" Target="https://es.investing.com/commodities/us-cocoa-historical-data" TargetMode="External"/><Relationship Id="rId21" Type="http://schemas.openxmlformats.org/officeDocument/2006/relationships/hyperlink" Target="https://es.investing.com/commodities/us-cocoa-historical-data" TargetMode="External"/><Relationship Id="rId24" Type="http://schemas.openxmlformats.org/officeDocument/2006/relationships/hyperlink" Target="https://es.investing.com/commodities/us-cocoa-historical-data" TargetMode="External"/><Relationship Id="rId23" Type="http://schemas.openxmlformats.org/officeDocument/2006/relationships/hyperlink" Target="https://es.investing.com/commodities/us-cocoa-historical-data" TargetMode="External"/><Relationship Id="rId26" Type="http://schemas.openxmlformats.org/officeDocument/2006/relationships/hyperlink" Target="https://es.investing.com/commodities/us-cocoa-historical-data" TargetMode="External"/><Relationship Id="rId25" Type="http://schemas.openxmlformats.org/officeDocument/2006/relationships/hyperlink" Target="https://es.investing.com/commodities/us-cocoa-historical-data" TargetMode="External"/><Relationship Id="rId28" Type="http://schemas.openxmlformats.org/officeDocument/2006/relationships/hyperlink" Target="https://es.investing.com/commodities/us-cocoa-historical-data" TargetMode="External"/><Relationship Id="rId27" Type="http://schemas.openxmlformats.org/officeDocument/2006/relationships/hyperlink" Target="https://es.investing.com/commodities/us-cocoa-historical-data" TargetMode="External"/><Relationship Id="rId29" Type="http://schemas.openxmlformats.org/officeDocument/2006/relationships/hyperlink" Target="https://es.investing.com/commodities/us-cocoa-historical-data" TargetMode="External"/><Relationship Id="rId95" Type="http://schemas.openxmlformats.org/officeDocument/2006/relationships/hyperlink" Target="https://fdcm.eu/es/products/masa-kataifi-asado/" TargetMode="External"/><Relationship Id="rId94" Type="http://schemas.openxmlformats.org/officeDocument/2006/relationships/hyperlink" Target="https://fdcm.eu/es/products/masa-kataifi-asado/" TargetMode="External"/><Relationship Id="rId97" Type="http://schemas.openxmlformats.org/officeDocument/2006/relationships/hyperlink" Target="https://fdcm.eu/es/products/masa-kataifi-asado/" TargetMode="External"/><Relationship Id="rId96" Type="http://schemas.openxmlformats.org/officeDocument/2006/relationships/hyperlink" Target="https://fdcm.eu/es/products/masa-kataifi-asado/" TargetMode="External"/><Relationship Id="rId11" Type="http://schemas.openxmlformats.org/officeDocument/2006/relationships/hyperlink" Target="https://es.investing.com/commodities/us-cocoa-historical-data" TargetMode="External"/><Relationship Id="rId99" Type="http://schemas.openxmlformats.org/officeDocument/2006/relationships/hyperlink" Target="https://fdcm.eu/es/products/masa-kataifi-asado/" TargetMode="External"/><Relationship Id="rId10" Type="http://schemas.openxmlformats.org/officeDocument/2006/relationships/hyperlink" Target="https://es.investing.com/commodities/us-cocoa-historical-data" TargetMode="External"/><Relationship Id="rId98" Type="http://schemas.openxmlformats.org/officeDocument/2006/relationships/hyperlink" Target="https://fdcm.eu/es/products/masa-kataifi-asado/" TargetMode="External"/><Relationship Id="rId13" Type="http://schemas.openxmlformats.org/officeDocument/2006/relationships/hyperlink" Target="https://es.investing.com/commodities/us-cocoa-historical-data" TargetMode="External"/><Relationship Id="rId12" Type="http://schemas.openxmlformats.org/officeDocument/2006/relationships/hyperlink" Target="https://es.investing.com/commodities/us-cocoa-historical-data" TargetMode="External"/><Relationship Id="rId91" Type="http://schemas.openxmlformats.org/officeDocument/2006/relationships/hyperlink" Target="https://fdcm.eu/es/products/masa-kataifi-asado/" TargetMode="External"/><Relationship Id="rId90" Type="http://schemas.openxmlformats.org/officeDocument/2006/relationships/hyperlink" Target="https://fdcm.eu/es/products/masa-kataifi-asado/" TargetMode="External"/><Relationship Id="rId93" Type="http://schemas.openxmlformats.org/officeDocument/2006/relationships/hyperlink" Target="https://fdcm.eu/es/products/masa-kataifi-asado/" TargetMode="External"/><Relationship Id="rId92" Type="http://schemas.openxmlformats.org/officeDocument/2006/relationships/hyperlink" Target="https://fdcm.eu/es/products/masa-kataifi-asado/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https://fdcm.eu/es/products/masa-kataifi-asado/" TargetMode="External"/><Relationship Id="rId116" Type="http://schemas.openxmlformats.org/officeDocument/2006/relationships/hyperlink" Target="https://fdcm.eu/es/products/masa-kataifi-asado/" TargetMode="External"/><Relationship Id="rId115" Type="http://schemas.openxmlformats.org/officeDocument/2006/relationships/hyperlink" Target="https://fdcm.eu/es/products/masa-kataifi-asado/" TargetMode="External"/><Relationship Id="rId15" Type="http://schemas.openxmlformats.org/officeDocument/2006/relationships/hyperlink" Target="https://es.investing.com/commodities/us-cocoa-historical-data" TargetMode="External"/><Relationship Id="rId110" Type="http://schemas.openxmlformats.org/officeDocument/2006/relationships/hyperlink" Target="https://fdcm.eu/es/products/masa-kataifi-asado/" TargetMode="External"/><Relationship Id="rId14" Type="http://schemas.openxmlformats.org/officeDocument/2006/relationships/hyperlink" Target="https://es.investing.com/commodities/us-cocoa-historical-data" TargetMode="External"/><Relationship Id="rId17" Type="http://schemas.openxmlformats.org/officeDocument/2006/relationships/hyperlink" Target="https://es.investing.com/commodities/us-cocoa-historical-data" TargetMode="External"/><Relationship Id="rId16" Type="http://schemas.openxmlformats.org/officeDocument/2006/relationships/hyperlink" Target="https://es.investing.com/commodities/us-cocoa-historical-data" TargetMode="External"/><Relationship Id="rId19" Type="http://schemas.openxmlformats.org/officeDocument/2006/relationships/hyperlink" Target="https://es.investing.com/commodities/us-cocoa-historical-data" TargetMode="External"/><Relationship Id="rId114" Type="http://schemas.openxmlformats.org/officeDocument/2006/relationships/hyperlink" Target="https://fdcm.eu/es/products/masa-kataifi-asado/" TargetMode="External"/><Relationship Id="rId18" Type="http://schemas.openxmlformats.org/officeDocument/2006/relationships/hyperlink" Target="https://es.investing.com/commodities/us-cocoa-historical-data" TargetMode="External"/><Relationship Id="rId113" Type="http://schemas.openxmlformats.org/officeDocument/2006/relationships/hyperlink" Target="https://fdcm.eu/es/products/masa-kataifi-asado/" TargetMode="External"/><Relationship Id="rId112" Type="http://schemas.openxmlformats.org/officeDocument/2006/relationships/hyperlink" Target="https://fdcm.eu/es/products/masa-kataifi-asado/" TargetMode="External"/><Relationship Id="rId111" Type="http://schemas.openxmlformats.org/officeDocument/2006/relationships/hyperlink" Target="https://fdcm.eu/es/products/masa-kataifi-asado/" TargetMode="External"/><Relationship Id="rId84" Type="http://schemas.openxmlformats.org/officeDocument/2006/relationships/hyperlink" Target="https://fdcm.eu/es/products/masa-kataifi-asado/" TargetMode="External"/><Relationship Id="rId83" Type="http://schemas.openxmlformats.org/officeDocument/2006/relationships/hyperlink" Target="https://fdcm.eu/es/products/masa-kataifi-asado/" TargetMode="External"/><Relationship Id="rId86" Type="http://schemas.openxmlformats.org/officeDocument/2006/relationships/hyperlink" Target="https://fdcm.eu/es/products/masa-kataifi-asado/" TargetMode="External"/><Relationship Id="rId85" Type="http://schemas.openxmlformats.org/officeDocument/2006/relationships/hyperlink" Target="https://fdcm.eu/es/products/masa-kataifi-asado/" TargetMode="External"/><Relationship Id="rId88" Type="http://schemas.openxmlformats.org/officeDocument/2006/relationships/hyperlink" Target="https://fdcm.eu/es/products/masa-kataifi-asado/" TargetMode="External"/><Relationship Id="rId87" Type="http://schemas.openxmlformats.org/officeDocument/2006/relationships/hyperlink" Target="https://fdcm.eu/es/products/masa-kataifi-asado/" TargetMode="External"/><Relationship Id="rId89" Type="http://schemas.openxmlformats.org/officeDocument/2006/relationships/hyperlink" Target="https://fdcm.eu/es/products/masa-kataifi-asado/" TargetMode="External"/><Relationship Id="rId80" Type="http://schemas.openxmlformats.org/officeDocument/2006/relationships/hyperlink" Target="https://fdcm.eu/es/products/masa-kataifi-asado/" TargetMode="External"/><Relationship Id="rId82" Type="http://schemas.openxmlformats.org/officeDocument/2006/relationships/hyperlink" Target="https://fdcm.eu/es/products/masa-kataifi-asado/" TargetMode="External"/><Relationship Id="rId81" Type="http://schemas.openxmlformats.org/officeDocument/2006/relationships/hyperlink" Target="https://fdcm.eu/es/products/masa-kataifi-asado/" TargetMode="External"/><Relationship Id="rId1" Type="http://schemas.openxmlformats.org/officeDocument/2006/relationships/hyperlink" Target="https://es.investing.com/commodities/us-cocoa-historical-data" TargetMode="External"/><Relationship Id="rId2" Type="http://schemas.openxmlformats.org/officeDocument/2006/relationships/hyperlink" Target="https://es.investing.com/commodities/us-cocoa-historical-data" TargetMode="External"/><Relationship Id="rId3" Type="http://schemas.openxmlformats.org/officeDocument/2006/relationships/hyperlink" Target="https://es.investing.com/commodities/us-cocoa-historical-data" TargetMode="External"/><Relationship Id="rId4" Type="http://schemas.openxmlformats.org/officeDocument/2006/relationships/hyperlink" Target="https://es.investing.com/commodities/us-cocoa-historical-data" TargetMode="External"/><Relationship Id="rId9" Type="http://schemas.openxmlformats.org/officeDocument/2006/relationships/hyperlink" Target="https://es.investing.com/commodities/us-cocoa-historical-data" TargetMode="External"/><Relationship Id="rId5" Type="http://schemas.openxmlformats.org/officeDocument/2006/relationships/hyperlink" Target="https://es.investing.com/commodities/us-cocoa-historical-data" TargetMode="External"/><Relationship Id="rId6" Type="http://schemas.openxmlformats.org/officeDocument/2006/relationships/hyperlink" Target="https://es.investing.com/commodities/us-cocoa-historical-data" TargetMode="External"/><Relationship Id="rId7" Type="http://schemas.openxmlformats.org/officeDocument/2006/relationships/hyperlink" Target="https://es.investing.com/commodities/us-cocoa-historical-data" TargetMode="External"/><Relationship Id="rId8" Type="http://schemas.openxmlformats.org/officeDocument/2006/relationships/hyperlink" Target="https://es.investing.com/commodities/us-cocoa-historical-data" TargetMode="External"/><Relationship Id="rId73" Type="http://schemas.openxmlformats.org/officeDocument/2006/relationships/hyperlink" Target="https://pistachopro.es/precio-del-pistacho-en-la-lonja-de-albacete-actualizado-y-evolucion-historica/" TargetMode="External"/><Relationship Id="rId72" Type="http://schemas.openxmlformats.org/officeDocument/2006/relationships/hyperlink" Target="https://pistachopro.es/precio-del-pistacho-en-la-lonja-de-albacete-actualizado-y-evolucion-historica/" TargetMode="External"/><Relationship Id="rId75" Type="http://schemas.openxmlformats.org/officeDocument/2006/relationships/hyperlink" Target="https://pistachopro.es/precio-del-pistacho-en-la-lonja-de-albacete-actualizado-y-evolucion-historica/" TargetMode="External"/><Relationship Id="rId74" Type="http://schemas.openxmlformats.org/officeDocument/2006/relationships/hyperlink" Target="https://pistachopro.es/precio-del-pistacho-en-la-lonja-de-albacete-actualizado-y-evolucion-historica/" TargetMode="External"/><Relationship Id="rId77" Type="http://schemas.openxmlformats.org/officeDocument/2006/relationships/hyperlink" Target="https://pistachopro.es/precio-del-pistacho-en-la-lonja-de-albacete-actualizado-y-evolucion-historica/" TargetMode="External"/><Relationship Id="rId76" Type="http://schemas.openxmlformats.org/officeDocument/2006/relationships/hyperlink" Target="https://pistachopro.es/precio-del-pistacho-en-la-lonja-de-albacete-actualizado-y-evolucion-historica/" TargetMode="External"/><Relationship Id="rId79" Type="http://schemas.openxmlformats.org/officeDocument/2006/relationships/hyperlink" Target="https://fdcm.eu/es/products/masa-kataifi-asado/" TargetMode="External"/><Relationship Id="rId78" Type="http://schemas.openxmlformats.org/officeDocument/2006/relationships/hyperlink" Target="https://pistachopro.es/precio-del-pistacho-en-la-lonja-de-albacete-actualizado-y-evolucion-historica/" TargetMode="External"/><Relationship Id="rId71" Type="http://schemas.openxmlformats.org/officeDocument/2006/relationships/hyperlink" Target="https://pistachopro.es/precio-del-pistacho-en-la-lonja-de-albacete-actualizado-y-evolucion-historica/" TargetMode="External"/><Relationship Id="rId70" Type="http://schemas.openxmlformats.org/officeDocument/2006/relationships/hyperlink" Target="https://pistachopro.es/precio-del-pistacho-en-la-lonja-de-albacete-actualizado-y-evolucion-historica/" TargetMode="External"/><Relationship Id="rId62" Type="http://schemas.openxmlformats.org/officeDocument/2006/relationships/hyperlink" Target="https://pistachopro.es/precio-del-pistacho-en-la-lonja-de-albacete-actualizado-y-evolucion-historica/" TargetMode="External"/><Relationship Id="rId61" Type="http://schemas.openxmlformats.org/officeDocument/2006/relationships/hyperlink" Target="https://pistachopro.es/precio-del-pistacho-en-la-lonja-de-albacete-actualizado-y-evolucion-historica/" TargetMode="External"/><Relationship Id="rId64" Type="http://schemas.openxmlformats.org/officeDocument/2006/relationships/hyperlink" Target="https://pistachopro.es/precio-del-pistacho-en-la-lonja-de-albacete-actualizado-y-evolucion-historica/" TargetMode="External"/><Relationship Id="rId63" Type="http://schemas.openxmlformats.org/officeDocument/2006/relationships/hyperlink" Target="https://pistachopro.es/precio-del-pistacho-en-la-lonja-de-albacete-actualizado-y-evolucion-historica/" TargetMode="External"/><Relationship Id="rId66" Type="http://schemas.openxmlformats.org/officeDocument/2006/relationships/hyperlink" Target="https://pistachopro.es/precio-del-pistacho-en-la-lonja-de-albacete-actualizado-y-evolucion-historica/" TargetMode="External"/><Relationship Id="rId65" Type="http://schemas.openxmlformats.org/officeDocument/2006/relationships/hyperlink" Target="https://pistachopro.es/precio-del-pistacho-en-la-lonja-de-albacete-actualizado-y-evolucion-historica/" TargetMode="External"/><Relationship Id="rId68" Type="http://schemas.openxmlformats.org/officeDocument/2006/relationships/hyperlink" Target="https://pistachopro.es/precio-del-pistacho-en-la-lonja-de-albacete-actualizado-y-evolucion-historica/" TargetMode="External"/><Relationship Id="rId67" Type="http://schemas.openxmlformats.org/officeDocument/2006/relationships/hyperlink" Target="https://pistachopro.es/precio-del-pistacho-en-la-lonja-de-albacete-actualizado-y-evolucion-historica/" TargetMode="External"/><Relationship Id="rId60" Type="http://schemas.openxmlformats.org/officeDocument/2006/relationships/hyperlink" Target="https://pistachopro.es/precio-del-pistacho-en-la-lonja-de-albacete-actualizado-y-evolucion-historica/" TargetMode="External"/><Relationship Id="rId69" Type="http://schemas.openxmlformats.org/officeDocument/2006/relationships/hyperlink" Target="https://pistachopro.es/precio-del-pistacho-en-la-lonja-de-albacete-actualizado-y-evolucion-historica/" TargetMode="External"/><Relationship Id="rId51" Type="http://schemas.openxmlformats.org/officeDocument/2006/relationships/hyperlink" Target="https://pistachopro.es/precio-del-pistacho-en-la-lonja-de-albacete-actualizado-y-evolucion-historica/" TargetMode="External"/><Relationship Id="rId50" Type="http://schemas.openxmlformats.org/officeDocument/2006/relationships/hyperlink" Target="https://pistachopro.es/precio-del-pistacho-en-la-lonja-de-albacete-actualizado-y-evolucion-historica/" TargetMode="External"/><Relationship Id="rId53" Type="http://schemas.openxmlformats.org/officeDocument/2006/relationships/hyperlink" Target="https://pistachopro.es/precio-del-pistacho-en-la-lonja-de-albacete-actualizado-y-evolucion-historica/" TargetMode="External"/><Relationship Id="rId52" Type="http://schemas.openxmlformats.org/officeDocument/2006/relationships/hyperlink" Target="https://pistachopro.es/precio-del-pistacho-en-la-lonja-de-albacete-actualizado-y-evolucion-historica/" TargetMode="External"/><Relationship Id="rId55" Type="http://schemas.openxmlformats.org/officeDocument/2006/relationships/hyperlink" Target="https://pistachopro.es/precio-del-pistacho-en-la-lonja-de-albacete-actualizado-y-evolucion-historica/" TargetMode="External"/><Relationship Id="rId54" Type="http://schemas.openxmlformats.org/officeDocument/2006/relationships/hyperlink" Target="https://pistachopro.es/precio-del-pistacho-en-la-lonja-de-albacete-actualizado-y-evolucion-historica/" TargetMode="External"/><Relationship Id="rId57" Type="http://schemas.openxmlformats.org/officeDocument/2006/relationships/hyperlink" Target="https://pistachopro.es/precio-del-pistacho-en-la-lonja-de-albacete-actualizado-y-evolucion-historica/" TargetMode="External"/><Relationship Id="rId56" Type="http://schemas.openxmlformats.org/officeDocument/2006/relationships/hyperlink" Target="https://pistachopro.es/precio-del-pistacho-en-la-lonja-de-albacete-actualizado-y-evolucion-historica/" TargetMode="External"/><Relationship Id="rId59" Type="http://schemas.openxmlformats.org/officeDocument/2006/relationships/hyperlink" Target="https://pistachopro.es/precio-del-pistacho-en-la-lonja-de-albacete-actualizado-y-evolucion-historica/" TargetMode="External"/><Relationship Id="rId58" Type="http://schemas.openxmlformats.org/officeDocument/2006/relationships/hyperlink" Target="https://pistachopro.es/precio-del-pistacho-en-la-lonja-de-albacete-actualizado-y-evolucion-histor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5" width="13.75"/>
    <col customWidth="1" min="6" max="6" width="13.0"/>
    <col customWidth="1" min="7" max="7" width="9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44927.0</v>
      </c>
      <c r="B2" s="1" t="s">
        <v>7</v>
      </c>
      <c r="C2" s="1">
        <v>2629.0</v>
      </c>
      <c r="D2" s="3">
        <f>IFERROR(__xludf.DUMMYFUNCTION("IF(E2=""USD"", C2 * INDEX(GOOGLEFINANCE(""CURRENCY:USDEUR"", ""price"", A2), 2, 2), C2)"),2454.77617)</f>
        <v>2454.77617</v>
      </c>
      <c r="E2" s="1" t="s">
        <v>8</v>
      </c>
      <c r="F2" s="1" t="s">
        <v>9</v>
      </c>
      <c r="G2" s="4" t="s">
        <v>10</v>
      </c>
    </row>
    <row r="3">
      <c r="A3" s="2">
        <v>44958.0</v>
      </c>
      <c r="B3" s="1" t="s">
        <v>7</v>
      </c>
      <c r="C3" s="1">
        <v>2789.0</v>
      </c>
      <c r="D3" s="3">
        <f>IFERROR(__xludf.DUMMYFUNCTION("IF(E3=""USD"", C3 * INDEX(GOOGLEFINANCE(""CURRENCY:USDEUR"", ""price"", A3), 2, 2), C3)"),2532.49567)</f>
        <v>2532.49567</v>
      </c>
      <c r="E3" s="1" t="s">
        <v>8</v>
      </c>
      <c r="F3" s="1" t="s">
        <v>9</v>
      </c>
      <c r="G3" s="4" t="s">
        <v>10</v>
      </c>
    </row>
    <row r="4">
      <c r="A4" s="2">
        <v>44986.0</v>
      </c>
      <c r="B4" s="1" t="s">
        <v>7</v>
      </c>
      <c r="C4" s="1">
        <v>2894.0</v>
      </c>
      <c r="D4" s="3">
        <f>IFERROR(__xludf.DUMMYFUNCTION("IF(E4=""USD"", C4 * INDEX(GOOGLEFINANCE(""CURRENCY:USDEUR"", ""price"", A4), 2, 2), C4)"),2712.5462)</f>
        <v>2712.5462</v>
      </c>
      <c r="E4" s="1" t="s">
        <v>8</v>
      </c>
      <c r="F4" s="1" t="s">
        <v>9</v>
      </c>
      <c r="G4" s="4" t="s">
        <v>10</v>
      </c>
    </row>
    <row r="5">
      <c r="A5" s="2">
        <v>45017.0</v>
      </c>
      <c r="B5" s="1" t="s">
        <v>7</v>
      </c>
      <c r="C5" s="1">
        <v>2937.0</v>
      </c>
      <c r="D5" s="3">
        <f>IFERROR(__xludf.DUMMYFUNCTION("IF(E5=""USD"", C5 * INDEX(GOOGLEFINANCE(""CURRENCY:USDEUR"", ""price"", A5), 2, 2), C5)"),2701.4526)</f>
        <v>2701.4526</v>
      </c>
      <c r="E5" s="1" t="s">
        <v>8</v>
      </c>
      <c r="F5" s="1" t="s">
        <v>9</v>
      </c>
      <c r="G5" s="4" t="s">
        <v>10</v>
      </c>
    </row>
    <row r="6">
      <c r="A6" s="2">
        <v>45047.0</v>
      </c>
      <c r="B6" s="1" t="s">
        <v>7</v>
      </c>
      <c r="C6" s="1">
        <v>3019.0</v>
      </c>
      <c r="D6" s="3">
        <f>IFERROR(__xludf.DUMMYFUNCTION("IF(E6=""USD"", C6 * INDEX(GOOGLEFINANCE(""CURRENCY:USDEUR"", ""price"", A6), 2, 2), C6)"),2752.24116)</f>
        <v>2752.24116</v>
      </c>
      <c r="E6" s="1" t="s">
        <v>8</v>
      </c>
      <c r="F6" s="1" t="s">
        <v>9</v>
      </c>
      <c r="G6" s="4" t="s">
        <v>10</v>
      </c>
    </row>
    <row r="7">
      <c r="A7" s="2">
        <v>45078.0</v>
      </c>
      <c r="B7" s="1" t="s">
        <v>7</v>
      </c>
      <c r="C7" s="1">
        <v>3318.0</v>
      </c>
      <c r="D7" s="3">
        <f>IFERROR(__xludf.DUMMYFUNCTION("IF(E7=""USD"", C7 * INDEX(GOOGLEFINANCE(""CURRENCY:USDEUR"", ""price"", A7), 2, 2), C7)"),3083.4174000000003)</f>
        <v>3083.4174</v>
      </c>
      <c r="E7" s="1" t="s">
        <v>8</v>
      </c>
      <c r="F7" s="1" t="s">
        <v>9</v>
      </c>
      <c r="G7" s="4" t="s">
        <v>10</v>
      </c>
    </row>
    <row r="8">
      <c r="A8" s="2">
        <v>45108.0</v>
      </c>
      <c r="B8" s="1" t="s">
        <v>7</v>
      </c>
      <c r="C8" s="1">
        <v>3548.0</v>
      </c>
      <c r="D8" s="3">
        <f>IFERROR(__xludf.DUMMYFUNCTION("IF(E8=""USD"", C8 * INDEX(GOOGLEFINANCE(""CURRENCY:USDEUR"", ""price"", A8), 2, 2), C8)"),3249.6132000000002)</f>
        <v>3249.6132</v>
      </c>
      <c r="E8" s="1" t="s">
        <v>8</v>
      </c>
      <c r="F8" s="1" t="s">
        <v>9</v>
      </c>
      <c r="G8" s="4" t="s">
        <v>10</v>
      </c>
    </row>
    <row r="9">
      <c r="A9" s="2">
        <v>45139.0</v>
      </c>
      <c r="B9" s="1" t="s">
        <v>7</v>
      </c>
      <c r="C9" s="1">
        <v>3602.0</v>
      </c>
      <c r="D9" s="3">
        <f>IFERROR(__xludf.DUMMYFUNCTION("IF(E9=""USD"", C9 * INDEX(GOOGLEFINANCE(""CURRENCY:USDEUR"", ""price"", A9), 2, 2), C9)"),3272.20088)</f>
        <v>3272.20088</v>
      </c>
      <c r="E9" s="1" t="s">
        <v>8</v>
      </c>
      <c r="F9" s="1" t="s">
        <v>9</v>
      </c>
      <c r="G9" s="4" t="s">
        <v>10</v>
      </c>
    </row>
    <row r="10">
      <c r="A10" s="2">
        <v>45170.0</v>
      </c>
      <c r="B10" s="1" t="s">
        <v>7</v>
      </c>
      <c r="C10" s="1">
        <v>3418.0</v>
      </c>
      <c r="D10" s="3">
        <f>IFERROR(__xludf.DUMMYFUNCTION("IF(E10=""USD"", C10 * INDEX(GOOGLEFINANCE(""CURRENCY:USDEUR"", ""price"", A10), 2, 2), C10)"),3165.7516)</f>
        <v>3165.7516</v>
      </c>
      <c r="E10" s="1" t="s">
        <v>8</v>
      </c>
      <c r="F10" s="1" t="s">
        <v>9</v>
      </c>
      <c r="G10" s="4" t="s">
        <v>10</v>
      </c>
    </row>
    <row r="11">
      <c r="A11" s="2">
        <v>45200.0</v>
      </c>
      <c r="B11" s="1" t="s">
        <v>7</v>
      </c>
      <c r="C11" s="1">
        <v>3817.0</v>
      </c>
      <c r="D11" s="3">
        <f>IFERROR(__xludf.DUMMYFUNCTION("IF(E11=""USD"", C11 * INDEX(GOOGLEFINANCE(""CURRENCY:USDEUR"", ""price"", A11), 2, 2), C11)"),3612.7905)</f>
        <v>3612.7905</v>
      </c>
      <c r="E11" s="1" t="s">
        <v>8</v>
      </c>
      <c r="F11" s="1" t="s">
        <v>9</v>
      </c>
      <c r="G11" s="4" t="s">
        <v>10</v>
      </c>
    </row>
    <row r="12">
      <c r="A12" s="2">
        <v>45231.0</v>
      </c>
      <c r="B12" s="1" t="s">
        <v>7</v>
      </c>
      <c r="C12" s="1">
        <v>4475.0</v>
      </c>
      <c r="D12" s="3">
        <f>IFERROR(__xludf.DUMMYFUNCTION("IF(E12=""USD"", C12 * INDEX(GOOGLEFINANCE(""CURRENCY:USDEUR"", ""price"", A12), 2, 2), C12)"),4226.86125)</f>
        <v>4226.86125</v>
      </c>
      <c r="E12" s="1" t="s">
        <v>8</v>
      </c>
      <c r="F12" s="1" t="s">
        <v>9</v>
      </c>
      <c r="G12" s="4" t="s">
        <v>10</v>
      </c>
    </row>
    <row r="13">
      <c r="A13" s="2">
        <v>45261.0</v>
      </c>
      <c r="B13" s="1" t="s">
        <v>7</v>
      </c>
      <c r="C13" s="1">
        <v>4196.0</v>
      </c>
      <c r="D13" s="3">
        <f>IFERROR(__xludf.DUMMYFUNCTION("IF(E13=""USD"", C13 * INDEX(GOOGLEFINANCE(""CURRENCY:USDEUR"", ""price"", A13), 2, 2), C13)"),3851.5084)</f>
        <v>3851.5084</v>
      </c>
      <c r="E13" s="1" t="s">
        <v>8</v>
      </c>
      <c r="F13" s="1" t="s">
        <v>9</v>
      </c>
      <c r="G13" s="4" t="s">
        <v>10</v>
      </c>
    </row>
    <row r="14">
      <c r="A14" s="2">
        <v>45292.0</v>
      </c>
      <c r="B14" s="1" t="s">
        <v>7</v>
      </c>
      <c r="C14" s="1">
        <v>4822.0</v>
      </c>
      <c r="D14" s="3">
        <f>IFERROR(__xludf.DUMMYFUNCTION("IF(E14=""USD"", C14 * INDEX(GOOGLEFINANCE(""CURRENCY:USDEUR"", ""price"", A14), 2, 2), C14)"),4368.2498000000005)</f>
        <v>4368.2498</v>
      </c>
      <c r="E14" s="1" t="s">
        <v>8</v>
      </c>
      <c r="F14" s="1" t="s">
        <v>9</v>
      </c>
      <c r="G14" s="4" t="s">
        <v>10</v>
      </c>
    </row>
    <row r="15">
      <c r="A15" s="2">
        <v>45323.0</v>
      </c>
      <c r="B15" s="1" t="s">
        <v>7</v>
      </c>
      <c r="C15" s="1">
        <v>6510.0</v>
      </c>
      <c r="D15" s="3">
        <f>IFERROR(__xludf.DUMMYFUNCTION("IF(E15=""USD"", C15 * INDEX(GOOGLEFINANCE(""CURRENCY:USDEUR"", ""price"", A15), 2, 2), C15)"),5986.4007)</f>
        <v>5986.4007</v>
      </c>
      <c r="E15" s="1" t="s">
        <v>8</v>
      </c>
      <c r="F15" s="1" t="s">
        <v>9</v>
      </c>
      <c r="G15" s="4" t="s">
        <v>10</v>
      </c>
    </row>
    <row r="16">
      <c r="A16" s="2">
        <v>45352.0</v>
      </c>
      <c r="B16" s="1" t="s">
        <v>7</v>
      </c>
      <c r="C16" s="1">
        <v>9766.0</v>
      </c>
      <c r="D16" s="3">
        <f>IFERROR(__xludf.DUMMYFUNCTION("IF(E16=""USD"", C16 * INDEX(GOOGLEFINANCE(""CURRENCY:USDEUR"", ""price"", A16), 2, 2), C16)"),8999.369)</f>
        <v>8999.369</v>
      </c>
      <c r="E16" s="1" t="s">
        <v>8</v>
      </c>
      <c r="F16" s="1" t="s">
        <v>9</v>
      </c>
      <c r="G16" s="4" t="s">
        <v>10</v>
      </c>
    </row>
    <row r="17">
      <c r="A17" s="2">
        <v>45383.0</v>
      </c>
      <c r="B17" s="1" t="s">
        <v>7</v>
      </c>
      <c r="C17" s="1">
        <v>9283.0</v>
      </c>
      <c r="D17" s="3">
        <f>IFERROR(__xludf.DUMMYFUNCTION("IF(E17=""USD"", C17 * INDEX(GOOGLEFINANCE(""CURRENCY:USDEUR"", ""price"", A17), 2, 2), C17)"),8645.629219999999)</f>
        <v>8645.62922</v>
      </c>
      <c r="E17" s="1" t="s">
        <v>8</v>
      </c>
      <c r="F17" s="1" t="s">
        <v>9</v>
      </c>
      <c r="G17" s="4" t="s">
        <v>10</v>
      </c>
    </row>
    <row r="18">
      <c r="A18" s="2">
        <v>45413.0</v>
      </c>
      <c r="B18" s="1" t="s">
        <v>7</v>
      </c>
      <c r="C18" s="1">
        <v>8586.0</v>
      </c>
      <c r="D18" s="3">
        <f>IFERROR(__xludf.DUMMYFUNCTION("IF(E18=""USD"", C18 * INDEX(GOOGLEFINANCE(""CURRENCY:USDEUR"", ""price"", A18), 2, 2), C18)"),8008.1622)</f>
        <v>8008.1622</v>
      </c>
      <c r="E18" s="1" t="s">
        <v>8</v>
      </c>
      <c r="F18" s="1" t="s">
        <v>9</v>
      </c>
      <c r="G18" s="4" t="s">
        <v>10</v>
      </c>
    </row>
    <row r="19">
      <c r="A19" s="2">
        <v>45444.0</v>
      </c>
      <c r="B19" s="1" t="s">
        <v>7</v>
      </c>
      <c r="C19" s="1">
        <v>6591.0</v>
      </c>
      <c r="D19" s="3">
        <f>IFERROR(__xludf.DUMMYFUNCTION("IF(E19=""USD"", C19 * INDEX(GOOGLEFINANCE(""CURRENCY:USDEUR"", ""price"", A19), 2, 2), C19)"),6070.311000000001)</f>
        <v>6070.311</v>
      </c>
      <c r="E19" s="1" t="s">
        <v>8</v>
      </c>
      <c r="F19" s="1" t="s">
        <v>9</v>
      </c>
      <c r="G19" s="4" t="s">
        <v>10</v>
      </c>
    </row>
    <row r="20">
      <c r="A20" s="2">
        <v>45474.0</v>
      </c>
      <c r="B20" s="1" t="s">
        <v>7</v>
      </c>
      <c r="C20" s="1">
        <v>6991.0</v>
      </c>
      <c r="D20" s="3">
        <f>IFERROR(__xludf.DUMMYFUNCTION("IF(E20=""USD"", C20 * INDEX(GOOGLEFINANCE(""CURRENCY:USDEUR"", ""price"", A20), 2, 2), C20)"),6511.06785)</f>
        <v>6511.06785</v>
      </c>
      <c r="E20" s="1" t="s">
        <v>8</v>
      </c>
      <c r="F20" s="1" t="s">
        <v>9</v>
      </c>
      <c r="G20" s="4" t="s">
        <v>10</v>
      </c>
    </row>
    <row r="21">
      <c r="A21" s="2">
        <v>45505.0</v>
      </c>
      <c r="B21" s="1" t="s">
        <v>7</v>
      </c>
      <c r="C21" s="1">
        <v>7671.0</v>
      </c>
      <c r="D21" s="3">
        <f>IFERROR(__xludf.DUMMYFUNCTION("IF(E21=""USD"", C21 * INDEX(GOOGLEFINANCE(""CURRENCY:USDEUR"", ""price"", A21), 2, 2), C21)"),7110.94029)</f>
        <v>7110.94029</v>
      </c>
      <c r="E21" s="1" t="s">
        <v>8</v>
      </c>
      <c r="F21" s="1" t="s">
        <v>9</v>
      </c>
      <c r="G21" s="4" t="s">
        <v>10</v>
      </c>
    </row>
    <row r="22">
      <c r="A22" s="2">
        <v>45536.0</v>
      </c>
      <c r="B22" s="1" t="s">
        <v>7</v>
      </c>
      <c r="C22" s="1">
        <v>7735.0</v>
      </c>
      <c r="D22" s="3">
        <f>IFERROR(__xludf.DUMMYFUNCTION("IF(E22=""USD"", C22 * INDEX(GOOGLEFINANCE(""CURRENCY:USDEUR"", ""price"", A22), 2, 2), C22)"),7003.269)</f>
        <v>7003.269</v>
      </c>
      <c r="E22" s="1" t="s">
        <v>8</v>
      </c>
      <c r="F22" s="1" t="s">
        <v>9</v>
      </c>
      <c r="G22" s="4" t="s">
        <v>10</v>
      </c>
    </row>
    <row r="23">
      <c r="A23" s="2">
        <v>45566.0</v>
      </c>
      <c r="B23" s="1" t="s">
        <v>7</v>
      </c>
      <c r="C23" s="1">
        <v>7338.5</v>
      </c>
      <c r="D23" s="3">
        <f>IFERROR(__xludf.DUMMYFUNCTION("IF(E23=""USD"", C23 * INDEX(GOOGLEFINANCE(""CURRENCY:USDEUR"", ""price"", A23), 2, 2), C23)"),6632.829839999999)</f>
        <v>6632.82984</v>
      </c>
      <c r="E23" s="1" t="s">
        <v>8</v>
      </c>
      <c r="F23" s="1" t="s">
        <v>9</v>
      </c>
      <c r="G23" s="4" t="s">
        <v>10</v>
      </c>
    </row>
    <row r="24">
      <c r="A24" s="2">
        <v>45597.0</v>
      </c>
      <c r="B24" s="1" t="s">
        <v>7</v>
      </c>
      <c r="C24" s="1">
        <v>9425.0</v>
      </c>
      <c r="D24" s="3">
        <f>IFERROR(__xludf.DUMMYFUNCTION("IF(E24=""USD"", C24 * INDEX(GOOGLEFINANCE(""CURRENCY:USDEUR"", ""price"", A24), 2, 2), C24)"),8660.6325)</f>
        <v>8660.6325</v>
      </c>
      <c r="E24" s="1" t="s">
        <v>8</v>
      </c>
      <c r="F24" s="1" t="s">
        <v>9</v>
      </c>
      <c r="G24" s="4" t="s">
        <v>10</v>
      </c>
    </row>
    <row r="25">
      <c r="A25" s="2">
        <v>45627.0</v>
      </c>
      <c r="B25" s="1" t="s">
        <v>7</v>
      </c>
      <c r="C25" s="1">
        <v>11675.0</v>
      </c>
      <c r="D25" s="3">
        <f>IFERROR(__xludf.DUMMYFUNCTION("IF(E25=""USD"", C25 * INDEX(GOOGLEFINANCE(""CURRENCY:USDEUR"", ""price"", A25), 2, 2), C25)"),11071.51925)</f>
        <v>11071.51925</v>
      </c>
      <c r="E25" s="1" t="s">
        <v>8</v>
      </c>
      <c r="F25" s="1" t="s">
        <v>9</v>
      </c>
      <c r="G25" s="4" t="s">
        <v>10</v>
      </c>
    </row>
    <row r="26">
      <c r="A26" s="2">
        <v>45658.0</v>
      </c>
      <c r="B26" s="1" t="s">
        <v>7</v>
      </c>
      <c r="C26" s="1">
        <v>10855.0</v>
      </c>
      <c r="D26" s="3">
        <f>IFERROR(__xludf.DUMMYFUNCTION("IF(E26=""USD"", C26 * INDEX(GOOGLEFINANCE(""CURRENCY:USDEUR"", ""price"", A26), 2, 2), C26)"),10486.038550000001)</f>
        <v>10486.03855</v>
      </c>
      <c r="E26" s="1" t="s">
        <v>8</v>
      </c>
      <c r="F26" s="1" t="s">
        <v>9</v>
      </c>
      <c r="G26" s="4" t="s">
        <v>10</v>
      </c>
    </row>
    <row r="27">
      <c r="A27" s="2">
        <v>45689.0</v>
      </c>
      <c r="B27" s="1" t="s">
        <v>7</v>
      </c>
      <c r="C27" s="1">
        <v>9014.0</v>
      </c>
      <c r="D27" s="3">
        <f>IFERROR(__xludf.DUMMYFUNCTION("IF(E27=""USD"", C27 * INDEX(GOOGLEFINANCE(""CURRENCY:USDEUR"", ""price"", A27), 2, 2), C27)"),8697.6086)</f>
        <v>8697.6086</v>
      </c>
      <c r="E27" s="1" t="s">
        <v>8</v>
      </c>
      <c r="F27" s="1" t="s">
        <v>9</v>
      </c>
      <c r="G27" s="4" t="s">
        <v>10</v>
      </c>
    </row>
    <row r="28">
      <c r="A28" s="2">
        <v>45717.0</v>
      </c>
      <c r="B28" s="1" t="s">
        <v>7</v>
      </c>
      <c r="C28" s="1">
        <v>7888.0</v>
      </c>
      <c r="D28" s="3">
        <f>IFERROR(__xludf.DUMMYFUNCTION("IF(E28=""USD"", C28 * INDEX(GOOGLEFINANCE(""CURRENCY:USDEUR"", ""price"", A28), 2, 2), C28)"),7598.5104)</f>
        <v>7598.5104</v>
      </c>
      <c r="E28" s="1" t="s">
        <v>8</v>
      </c>
      <c r="F28" s="1" t="s">
        <v>9</v>
      </c>
      <c r="G28" s="4" t="s">
        <v>10</v>
      </c>
    </row>
    <row r="29">
      <c r="A29" s="2">
        <v>45748.0</v>
      </c>
      <c r="B29" s="1" t="s">
        <v>7</v>
      </c>
      <c r="C29" s="1">
        <v>9127.0</v>
      </c>
      <c r="D29" s="3">
        <f>IFERROR(__xludf.DUMMYFUNCTION("IF(E29=""USD"", C29 * INDEX(GOOGLEFINANCE(""CURRENCY:USDEUR"", ""price"", A29), 2, 2), C29)"),8454.06629)</f>
        <v>8454.06629</v>
      </c>
      <c r="E29" s="1" t="s">
        <v>8</v>
      </c>
      <c r="F29" s="1" t="s">
        <v>9</v>
      </c>
      <c r="G29" s="4" t="s">
        <v>10</v>
      </c>
    </row>
    <row r="30">
      <c r="A30" s="2">
        <v>45778.0</v>
      </c>
      <c r="B30" s="1" t="s">
        <v>7</v>
      </c>
      <c r="C30" s="1">
        <v>9220.0</v>
      </c>
      <c r="D30" s="3">
        <f>IFERROR(__xludf.DUMMYFUNCTION("IF(E30=""USD"", C30 * INDEX(GOOGLEFINANCE(""CURRENCY:USDEUR"", ""price"", A30), 2, 2), C30)"),8161.8206)</f>
        <v>8161.8206</v>
      </c>
      <c r="E30" s="1" t="s">
        <v>8</v>
      </c>
      <c r="F30" s="1" t="s">
        <v>9</v>
      </c>
      <c r="G30" s="4" t="s">
        <v>10</v>
      </c>
    </row>
    <row r="31">
      <c r="A31" s="2">
        <v>45809.0</v>
      </c>
      <c r="B31" s="1" t="s">
        <v>7</v>
      </c>
      <c r="C31" s="1">
        <v>9356.0</v>
      </c>
      <c r="D31" s="3">
        <f>IFERROR(__xludf.DUMMYFUNCTION("IF(E31=""USD"", C31 * INDEX(GOOGLEFINANCE(""CURRENCY:USDEUR"", ""price"", A31), 2, 2), C31)"),8240.7648)</f>
        <v>8240.7648</v>
      </c>
      <c r="E31" s="1" t="s">
        <v>8</v>
      </c>
      <c r="F31" s="1" t="s">
        <v>9</v>
      </c>
      <c r="G31" s="4" t="s">
        <v>10</v>
      </c>
    </row>
    <row r="32">
      <c r="A32" s="2">
        <v>45839.0</v>
      </c>
      <c r="B32" s="1" t="s">
        <v>7</v>
      </c>
      <c r="C32" s="1">
        <v>8506.0</v>
      </c>
      <c r="D32" s="3">
        <f>IFERROR(__xludf.DUMMYFUNCTION("IF(E32=""USD"", C32 * INDEX(GOOGLEFINANCE(""CURRENCY:USDEUR"", ""price"", A32), 2, 2), C32)"),7205.092360000001)</f>
        <v>7205.09236</v>
      </c>
      <c r="E32" s="1" t="s">
        <v>8</v>
      </c>
      <c r="F32" s="1" t="s">
        <v>9</v>
      </c>
      <c r="G32" s="4" t="s">
        <v>10</v>
      </c>
    </row>
    <row r="33">
      <c r="A33" s="2">
        <v>45870.0</v>
      </c>
      <c r="B33" s="1" t="s">
        <v>7</v>
      </c>
      <c r="C33" s="1">
        <v>7710.0</v>
      </c>
      <c r="D33" s="3">
        <f>IFERROR(__xludf.DUMMYFUNCTION("IF(E33=""USD"", C33 * INDEX(GOOGLEFINANCE(""CURRENCY:USDEUR"", ""price"", A33), 2, 2), C33)"),6649.104)</f>
        <v>6649.104</v>
      </c>
      <c r="E33" s="1" t="s">
        <v>8</v>
      </c>
      <c r="F33" s="1" t="s">
        <v>9</v>
      </c>
      <c r="G33" s="4" t="s">
        <v>10</v>
      </c>
    </row>
    <row r="34">
      <c r="A34" s="2">
        <v>45901.0</v>
      </c>
      <c r="B34" s="1" t="s">
        <v>7</v>
      </c>
      <c r="C34" s="1">
        <v>6749.0</v>
      </c>
      <c r="D34" s="3">
        <f>IFERROR(__xludf.DUMMYFUNCTION("IF(E34=""USD"", C34 * INDEX(GOOGLEFINANCE(""CURRENCY:USDEUR"", ""price"", A34), 2, 2), C34)"),5760.5414599999995)</f>
        <v>5760.54146</v>
      </c>
      <c r="E34" s="1" t="s">
        <v>8</v>
      </c>
      <c r="F34" s="1" t="s">
        <v>9</v>
      </c>
      <c r="G34" s="4" t="s">
        <v>10</v>
      </c>
    </row>
    <row r="35">
      <c r="A35" s="2">
        <v>45931.0</v>
      </c>
      <c r="B35" s="1" t="s">
        <v>7</v>
      </c>
      <c r="C35" s="1">
        <v>6250.0</v>
      </c>
      <c r="D35" s="3">
        <f>IFERROR(__xludf.DUMMYFUNCTION("IF(E35=""USD"", C35 * INDEX(GOOGLEFINANCE(""CURRENCY:USDEUR"", ""price"", A35), 2, 2), C35)"),5326.375)</f>
        <v>5326.375</v>
      </c>
      <c r="E35" s="1" t="s">
        <v>8</v>
      </c>
      <c r="F35" s="1" t="s">
        <v>9</v>
      </c>
      <c r="G35" s="4" t="s">
        <v>10</v>
      </c>
    </row>
    <row r="36">
      <c r="A36" s="2">
        <v>45962.0</v>
      </c>
      <c r="B36" s="1" t="s">
        <v>7</v>
      </c>
      <c r="C36" s="1">
        <v>5404.0</v>
      </c>
      <c r="D36" s="3">
        <f>IFERROR(__xludf.DUMMYFUNCTION("IF(E36=""USD"", C36 * INDEX(GOOGLEFINANCE(""CURRENCY:USDEUR"", ""price"", A36), 2, 2), C36)"),4658.248)</f>
        <v>4658.248</v>
      </c>
      <c r="E36" s="1" t="s">
        <v>8</v>
      </c>
      <c r="F36" s="1" t="s">
        <v>9</v>
      </c>
      <c r="G36" s="4" t="s">
        <v>10</v>
      </c>
    </row>
    <row r="37">
      <c r="A37" s="2">
        <v>45992.0</v>
      </c>
      <c r="B37" s="1" t="s">
        <v>7</v>
      </c>
      <c r="C37" s="1">
        <v>6065.0</v>
      </c>
      <c r="D37" s="3">
        <f>IFERROR(__xludf.DUMMYFUNCTION("IF(E37=""USD"", C37 * INDEX(GOOGLEFINANCE(""CURRENCY:USDEUR"", ""price"", A37), 2, 2), C37)"),5224.9975)</f>
        <v>5224.9975</v>
      </c>
      <c r="E37" s="1" t="s">
        <v>8</v>
      </c>
      <c r="F37" s="1" t="s">
        <v>9</v>
      </c>
      <c r="G37" s="4" t="s">
        <v>10</v>
      </c>
    </row>
    <row r="38">
      <c r="A38" s="2">
        <v>46023.0</v>
      </c>
      <c r="B38" s="1" t="s">
        <v>7</v>
      </c>
      <c r="C38" s="1">
        <v>4165.0</v>
      </c>
      <c r="D38" s="3">
        <f>IFERROR(__xludf.DUMMYFUNCTION("IF(E38=""USD"", C38 * INDEX(GOOGLEFINANCE(""CURRENCY:USDEUR"", ""price"", A38), 2, 2), C38)"),3544.53995)</f>
        <v>3544.53995</v>
      </c>
      <c r="E38" s="1" t="s">
        <v>8</v>
      </c>
      <c r="F38" s="1" t="s">
        <v>9</v>
      </c>
      <c r="G38" s="4" t="s">
        <v>10</v>
      </c>
    </row>
    <row r="39">
      <c r="A39" s="2">
        <v>46054.0</v>
      </c>
      <c r="B39" s="1" t="s">
        <v>7</v>
      </c>
      <c r="C39" s="1">
        <v>2798.0</v>
      </c>
      <c r="D39" s="3">
        <f>IFERROR(__xludf.DUMMYFUNCTION("IF(E39=""USD"", C39 * INDEX(GOOGLEFINANCE(""CURRENCY:USDEUR"", ""price"", A39), 2, 2), C39)"),2361.34412)</f>
        <v>2361.34412</v>
      </c>
      <c r="E39" s="1" t="s">
        <v>8</v>
      </c>
      <c r="F39" s="1" t="s">
        <v>9</v>
      </c>
      <c r="G39" s="4" t="s">
        <v>10</v>
      </c>
    </row>
    <row r="40">
      <c r="A40" s="2">
        <v>46082.0</v>
      </c>
      <c r="B40" s="1" t="s">
        <v>7</v>
      </c>
      <c r="C40" s="1">
        <v>3172.0</v>
      </c>
      <c r="D40" s="3">
        <f>IFERROR(__xludf.DUMMYFUNCTION("IF(E40=""USD"", C40 * INDEX(GOOGLEFINANCE(""CURRENCY:USDEUR"", ""price"", A40), 2, 2), C40)"),2697.40536)</f>
        <v>2697.40536</v>
      </c>
      <c r="E40" s="1" t="s">
        <v>8</v>
      </c>
      <c r="F40" s="1" t="s">
        <v>9</v>
      </c>
      <c r="G40" s="4" t="s">
        <v>10</v>
      </c>
    </row>
    <row r="41">
      <c r="A41" s="2">
        <v>44927.0</v>
      </c>
      <c r="B41" s="1" t="s">
        <v>11</v>
      </c>
      <c r="C41" s="1">
        <v>12.5</v>
      </c>
      <c r="D41" s="3">
        <f>IFERROR(__xludf.DUMMYFUNCTION("IF(E41=""USD"", C41 * INDEX(GOOGLEFINANCE(""CURRENCY:USDEUR"", ""price"", A41), 2, 2), C41)"),12.5)</f>
        <v>12.5</v>
      </c>
      <c r="E41" s="1" t="s">
        <v>12</v>
      </c>
      <c r="F41" s="1" t="s">
        <v>13</v>
      </c>
      <c r="G41" s="4" t="s">
        <v>14</v>
      </c>
    </row>
    <row r="42">
      <c r="A42" s="2">
        <v>44958.0</v>
      </c>
      <c r="B42" s="1" t="s">
        <v>11</v>
      </c>
      <c r="C42" s="1">
        <v>12.8</v>
      </c>
      <c r="D42" s="3">
        <f>IFERROR(__xludf.DUMMYFUNCTION("IF(E42=""USD"", C42 * INDEX(GOOGLEFINANCE(""CURRENCY:USDEUR"", ""price"", A42), 2, 2), C42)"),12.8)</f>
        <v>12.8</v>
      </c>
      <c r="E42" s="1" t="s">
        <v>12</v>
      </c>
      <c r="F42" s="1" t="s">
        <v>13</v>
      </c>
      <c r="G42" s="4" t="s">
        <v>14</v>
      </c>
    </row>
    <row r="43">
      <c r="A43" s="2">
        <v>44986.0</v>
      </c>
      <c r="B43" s="1" t="s">
        <v>11</v>
      </c>
      <c r="C43" s="1">
        <v>13.5</v>
      </c>
      <c r="D43" s="3">
        <f>IFERROR(__xludf.DUMMYFUNCTION("IF(E43=""USD"", C43 * INDEX(GOOGLEFINANCE(""CURRENCY:USDEUR"", ""price"", A43), 2, 2), C43)"),13.5)</f>
        <v>13.5</v>
      </c>
      <c r="E43" s="1" t="s">
        <v>12</v>
      </c>
      <c r="F43" s="1" t="s">
        <v>13</v>
      </c>
      <c r="G43" s="4" t="s">
        <v>14</v>
      </c>
    </row>
    <row r="44">
      <c r="A44" s="2">
        <v>45017.0</v>
      </c>
      <c r="B44" s="1" t="s">
        <v>11</v>
      </c>
      <c r="C44" s="1">
        <v>14.5</v>
      </c>
      <c r="D44" s="3">
        <f>IFERROR(__xludf.DUMMYFUNCTION("IF(E44=""USD"", C44 * INDEX(GOOGLEFINANCE(""CURRENCY:USDEUR"", ""price"", A44), 2, 2), C44)"),14.5)</f>
        <v>14.5</v>
      </c>
      <c r="E44" s="1" t="s">
        <v>12</v>
      </c>
      <c r="F44" s="1" t="s">
        <v>13</v>
      </c>
      <c r="G44" s="4" t="s">
        <v>14</v>
      </c>
    </row>
    <row r="45">
      <c r="A45" s="2">
        <v>45047.0</v>
      </c>
      <c r="B45" s="1" t="s">
        <v>11</v>
      </c>
      <c r="C45" s="1">
        <v>14.5</v>
      </c>
      <c r="D45" s="3">
        <f>IFERROR(__xludf.DUMMYFUNCTION("IF(E45=""USD"", C45 * INDEX(GOOGLEFINANCE(""CURRENCY:USDEUR"", ""price"", A45), 2, 2), C45)"),14.5)</f>
        <v>14.5</v>
      </c>
      <c r="E45" s="1" t="s">
        <v>12</v>
      </c>
      <c r="F45" s="1" t="s">
        <v>13</v>
      </c>
      <c r="G45" s="4" t="s">
        <v>14</v>
      </c>
    </row>
    <row r="46">
      <c r="A46" s="2">
        <v>45078.0</v>
      </c>
      <c r="B46" s="1" t="s">
        <v>11</v>
      </c>
      <c r="C46" s="1">
        <v>14.5</v>
      </c>
      <c r="D46" s="3">
        <f>IFERROR(__xludf.DUMMYFUNCTION("IF(E46=""USD"", C46 * INDEX(GOOGLEFINANCE(""CURRENCY:USDEUR"", ""price"", A46), 2, 2), C46)"),14.5)</f>
        <v>14.5</v>
      </c>
      <c r="E46" s="1" t="s">
        <v>12</v>
      </c>
      <c r="F46" s="1" t="s">
        <v>13</v>
      </c>
      <c r="G46" s="4" t="s">
        <v>14</v>
      </c>
    </row>
    <row r="47">
      <c r="A47" s="2">
        <v>45108.0</v>
      </c>
      <c r="B47" s="1" t="s">
        <v>11</v>
      </c>
      <c r="C47" s="1">
        <v>14.5</v>
      </c>
      <c r="D47" s="3">
        <f>IFERROR(__xludf.DUMMYFUNCTION("IF(E47=""USD"", C47 * INDEX(GOOGLEFINANCE(""CURRENCY:USDEUR"", ""price"", A47), 2, 2), C47)"),14.5)</f>
        <v>14.5</v>
      </c>
      <c r="E47" s="1" t="s">
        <v>12</v>
      </c>
      <c r="F47" s="1" t="s">
        <v>13</v>
      </c>
      <c r="G47" s="4" t="s">
        <v>14</v>
      </c>
    </row>
    <row r="48">
      <c r="A48" s="2">
        <v>45139.0</v>
      </c>
      <c r="B48" s="1" t="s">
        <v>11</v>
      </c>
      <c r="C48" s="1">
        <v>14.5</v>
      </c>
      <c r="D48" s="3">
        <f>IFERROR(__xludf.DUMMYFUNCTION("IF(E48=""USD"", C48 * INDEX(GOOGLEFINANCE(""CURRENCY:USDEUR"", ""price"", A48), 2, 2), C48)"),14.5)</f>
        <v>14.5</v>
      </c>
      <c r="E48" s="1" t="s">
        <v>12</v>
      </c>
      <c r="F48" s="1" t="s">
        <v>13</v>
      </c>
      <c r="G48" s="4" t="s">
        <v>14</v>
      </c>
    </row>
    <row r="49">
      <c r="A49" s="2">
        <v>45170.0</v>
      </c>
      <c r="B49" s="1" t="s">
        <v>11</v>
      </c>
      <c r="C49" s="1">
        <v>15.0</v>
      </c>
      <c r="D49" s="3">
        <f>IFERROR(__xludf.DUMMYFUNCTION("IF(E49=""USD"", C49 * INDEX(GOOGLEFINANCE(""CURRENCY:USDEUR"", ""price"", A49), 2, 2), C49)"),15.0)</f>
        <v>15</v>
      </c>
      <c r="E49" s="1" t="s">
        <v>12</v>
      </c>
      <c r="F49" s="1" t="s">
        <v>13</v>
      </c>
      <c r="G49" s="4" t="s">
        <v>14</v>
      </c>
    </row>
    <row r="50">
      <c r="A50" s="2">
        <v>45200.0</v>
      </c>
      <c r="B50" s="1" t="s">
        <v>11</v>
      </c>
      <c r="C50" s="1">
        <v>15.0</v>
      </c>
      <c r="D50" s="3">
        <f>IFERROR(__xludf.DUMMYFUNCTION("IF(E50=""USD"", C50 * INDEX(GOOGLEFINANCE(""CURRENCY:USDEUR"", ""price"", A50), 2, 2), C50)"),15.0)</f>
        <v>15</v>
      </c>
      <c r="E50" s="1" t="s">
        <v>12</v>
      </c>
      <c r="F50" s="1" t="s">
        <v>13</v>
      </c>
      <c r="G50" s="4" t="s">
        <v>14</v>
      </c>
    </row>
    <row r="51">
      <c r="A51" s="2">
        <v>45231.0</v>
      </c>
      <c r="B51" s="1" t="s">
        <v>11</v>
      </c>
      <c r="C51" s="1">
        <v>15.25</v>
      </c>
      <c r="D51" s="3">
        <f>IFERROR(__xludf.DUMMYFUNCTION("IF(E51=""USD"", C51 * INDEX(GOOGLEFINANCE(""CURRENCY:USDEUR"", ""price"", A51), 2, 2), C51)"),15.25)</f>
        <v>15.25</v>
      </c>
      <c r="E51" s="1" t="s">
        <v>12</v>
      </c>
      <c r="F51" s="1" t="s">
        <v>13</v>
      </c>
      <c r="G51" s="4" t="s">
        <v>14</v>
      </c>
    </row>
    <row r="52">
      <c r="A52" s="2">
        <v>45261.0</v>
      </c>
      <c r="B52" s="1" t="s">
        <v>11</v>
      </c>
      <c r="C52" s="1">
        <v>15.25</v>
      </c>
      <c r="D52" s="3">
        <f>IFERROR(__xludf.DUMMYFUNCTION("IF(E52=""USD"", C52 * INDEX(GOOGLEFINANCE(""CURRENCY:USDEUR"", ""price"", A52), 2, 2), C52)"),15.25)</f>
        <v>15.25</v>
      </c>
      <c r="E52" s="1" t="s">
        <v>12</v>
      </c>
      <c r="F52" s="1" t="s">
        <v>13</v>
      </c>
      <c r="G52" s="4" t="s">
        <v>14</v>
      </c>
    </row>
    <row r="53">
      <c r="A53" s="2">
        <v>45292.0</v>
      </c>
      <c r="B53" s="1" t="s">
        <v>11</v>
      </c>
      <c r="C53" s="1">
        <v>15.25</v>
      </c>
      <c r="D53" s="3">
        <f>IFERROR(__xludf.DUMMYFUNCTION("IF(E53=""USD"", C53 * INDEX(GOOGLEFINANCE(""CURRENCY:USDEUR"", ""price"", A53), 2, 2), C53)"),15.25)</f>
        <v>15.25</v>
      </c>
      <c r="E53" s="1" t="s">
        <v>12</v>
      </c>
      <c r="F53" s="1" t="s">
        <v>13</v>
      </c>
      <c r="G53" s="4" t="s">
        <v>14</v>
      </c>
    </row>
    <row r="54">
      <c r="A54" s="2">
        <v>45323.0</v>
      </c>
      <c r="B54" s="1" t="s">
        <v>11</v>
      </c>
      <c r="C54" s="1">
        <v>15.25</v>
      </c>
      <c r="D54" s="3">
        <f>IFERROR(__xludf.DUMMYFUNCTION("IF(E54=""USD"", C54 * INDEX(GOOGLEFINANCE(""CURRENCY:USDEUR"", ""price"", A54), 2, 2), C54)"),15.25)</f>
        <v>15.25</v>
      </c>
      <c r="E54" s="1" t="s">
        <v>12</v>
      </c>
      <c r="F54" s="1" t="s">
        <v>13</v>
      </c>
      <c r="G54" s="4" t="s">
        <v>14</v>
      </c>
    </row>
    <row r="55">
      <c r="A55" s="2">
        <v>45352.0</v>
      </c>
      <c r="B55" s="1" t="s">
        <v>11</v>
      </c>
      <c r="C55" s="1">
        <v>15.25</v>
      </c>
      <c r="D55" s="3">
        <f>IFERROR(__xludf.DUMMYFUNCTION("IF(E55=""USD"", C55 * INDEX(GOOGLEFINANCE(""CURRENCY:USDEUR"", ""price"", A55), 2, 2), C55)"),15.25)</f>
        <v>15.25</v>
      </c>
      <c r="E55" s="1" t="s">
        <v>12</v>
      </c>
      <c r="F55" s="1" t="s">
        <v>13</v>
      </c>
      <c r="G55" s="4" t="s">
        <v>14</v>
      </c>
    </row>
    <row r="56">
      <c r="A56" s="2">
        <v>45383.0</v>
      </c>
      <c r="B56" s="1" t="s">
        <v>11</v>
      </c>
      <c r="C56" s="1">
        <v>15.25</v>
      </c>
      <c r="D56" s="3">
        <f>IFERROR(__xludf.DUMMYFUNCTION("IF(E56=""USD"", C56 * INDEX(GOOGLEFINANCE(""CURRENCY:USDEUR"", ""price"", A56), 2, 2), C56)"),15.25)</f>
        <v>15.25</v>
      </c>
      <c r="E56" s="1" t="s">
        <v>12</v>
      </c>
      <c r="F56" s="1" t="s">
        <v>13</v>
      </c>
      <c r="G56" s="4" t="s">
        <v>14</v>
      </c>
    </row>
    <row r="57">
      <c r="A57" s="2">
        <v>45413.0</v>
      </c>
      <c r="B57" s="1" t="s">
        <v>11</v>
      </c>
      <c r="C57" s="1">
        <v>15.25</v>
      </c>
      <c r="D57" s="3">
        <f>IFERROR(__xludf.DUMMYFUNCTION("IF(E57=""USD"", C57 * INDEX(GOOGLEFINANCE(""CURRENCY:USDEUR"", ""price"", A57), 2, 2), C57)"),15.25)</f>
        <v>15.25</v>
      </c>
      <c r="E57" s="1" t="s">
        <v>12</v>
      </c>
      <c r="F57" s="1" t="s">
        <v>13</v>
      </c>
      <c r="G57" s="4" t="s">
        <v>14</v>
      </c>
    </row>
    <row r="58">
      <c r="A58" s="2">
        <v>45444.0</v>
      </c>
      <c r="B58" s="1" t="s">
        <v>11</v>
      </c>
      <c r="C58" s="1">
        <v>15.25</v>
      </c>
      <c r="D58" s="3">
        <f>IFERROR(__xludf.DUMMYFUNCTION("IF(E58=""USD"", C58 * INDEX(GOOGLEFINANCE(""CURRENCY:USDEUR"", ""price"", A58), 2, 2), C58)"),15.25)</f>
        <v>15.25</v>
      </c>
      <c r="E58" s="1" t="s">
        <v>12</v>
      </c>
      <c r="F58" s="1" t="s">
        <v>13</v>
      </c>
      <c r="G58" s="4" t="s">
        <v>14</v>
      </c>
    </row>
    <row r="59">
      <c r="A59" s="2">
        <v>45474.0</v>
      </c>
      <c r="B59" s="1" t="s">
        <v>11</v>
      </c>
      <c r="C59" s="1">
        <v>15.25</v>
      </c>
      <c r="D59" s="3">
        <f>IFERROR(__xludf.DUMMYFUNCTION("IF(E59=""USD"", C59 * INDEX(GOOGLEFINANCE(""CURRENCY:USDEUR"", ""price"", A59), 2, 2), C59)"),15.25)</f>
        <v>15.25</v>
      </c>
      <c r="E59" s="1" t="s">
        <v>12</v>
      </c>
      <c r="F59" s="1" t="s">
        <v>13</v>
      </c>
      <c r="G59" s="4" t="s">
        <v>14</v>
      </c>
    </row>
    <row r="60">
      <c r="A60" s="2">
        <v>45505.0</v>
      </c>
      <c r="B60" s="1" t="s">
        <v>11</v>
      </c>
      <c r="C60" s="1">
        <v>15.25</v>
      </c>
      <c r="D60" s="3">
        <f>IFERROR(__xludf.DUMMYFUNCTION("IF(E60=""USD"", C60 * INDEX(GOOGLEFINANCE(""CURRENCY:USDEUR"", ""price"", A60), 2, 2), C60)"),15.25)</f>
        <v>15.25</v>
      </c>
      <c r="E60" s="1" t="s">
        <v>12</v>
      </c>
      <c r="F60" s="1" t="s">
        <v>13</v>
      </c>
      <c r="G60" s="4" t="s">
        <v>14</v>
      </c>
    </row>
    <row r="61">
      <c r="A61" s="2">
        <v>45536.0</v>
      </c>
      <c r="B61" s="1" t="s">
        <v>11</v>
      </c>
      <c r="C61" s="1">
        <v>16.0</v>
      </c>
      <c r="D61" s="3">
        <f>IFERROR(__xludf.DUMMYFUNCTION("IF(E61=""USD"", C61 * INDEX(GOOGLEFINANCE(""CURRENCY:USDEUR"", ""price"", A61), 2, 2), C61)"),16.0)</f>
        <v>16</v>
      </c>
      <c r="E61" s="1" t="s">
        <v>12</v>
      </c>
      <c r="F61" s="1" t="s">
        <v>13</v>
      </c>
      <c r="G61" s="4" t="s">
        <v>14</v>
      </c>
    </row>
    <row r="62">
      <c r="A62" s="2">
        <v>45566.0</v>
      </c>
      <c r="B62" s="1" t="s">
        <v>11</v>
      </c>
      <c r="C62" s="1">
        <v>16.0</v>
      </c>
      <c r="D62" s="3">
        <f>IFERROR(__xludf.DUMMYFUNCTION("IF(E62=""USD"", C62 * INDEX(GOOGLEFINANCE(""CURRENCY:USDEUR"", ""price"", A62), 2, 2), C62)"),16.0)</f>
        <v>16</v>
      </c>
      <c r="E62" s="1" t="s">
        <v>12</v>
      </c>
      <c r="F62" s="1" t="s">
        <v>13</v>
      </c>
      <c r="G62" s="4" t="s">
        <v>14</v>
      </c>
    </row>
    <row r="63">
      <c r="A63" s="2">
        <v>45597.0</v>
      </c>
      <c r="B63" s="1" t="s">
        <v>11</v>
      </c>
      <c r="C63" s="1">
        <v>16.0</v>
      </c>
      <c r="D63" s="3">
        <f>IFERROR(__xludf.DUMMYFUNCTION("IF(E63=""USD"", C63 * INDEX(GOOGLEFINANCE(""CURRENCY:USDEUR"", ""price"", A63), 2, 2), C63)"),16.0)</f>
        <v>16</v>
      </c>
      <c r="E63" s="1" t="s">
        <v>12</v>
      </c>
      <c r="F63" s="1" t="s">
        <v>13</v>
      </c>
      <c r="G63" s="4" t="s">
        <v>14</v>
      </c>
    </row>
    <row r="64">
      <c r="A64" s="2">
        <v>45627.0</v>
      </c>
      <c r="B64" s="1" t="s">
        <v>11</v>
      </c>
      <c r="C64" s="1">
        <v>16.0</v>
      </c>
      <c r="D64" s="3">
        <f>IFERROR(__xludf.DUMMYFUNCTION("IF(E64=""USD"", C64 * INDEX(GOOGLEFINANCE(""CURRENCY:USDEUR"", ""price"", A64), 2, 2), C64)"),16.0)</f>
        <v>16</v>
      </c>
      <c r="E64" s="1" t="s">
        <v>12</v>
      </c>
      <c r="F64" s="1" t="s">
        <v>13</v>
      </c>
      <c r="G64" s="4" t="s">
        <v>14</v>
      </c>
    </row>
    <row r="65">
      <c r="A65" s="2">
        <v>45658.0</v>
      </c>
      <c r="B65" s="1" t="s">
        <v>11</v>
      </c>
      <c r="C65" s="1">
        <v>16.0</v>
      </c>
      <c r="D65" s="3">
        <f>IFERROR(__xludf.DUMMYFUNCTION("IF(E65=""USD"", C65 * INDEX(GOOGLEFINANCE(""CURRENCY:USDEUR"", ""price"", A65), 2, 2), C65)"),16.0)</f>
        <v>16</v>
      </c>
      <c r="E65" s="1" t="s">
        <v>12</v>
      </c>
      <c r="F65" s="1" t="s">
        <v>13</v>
      </c>
      <c r="G65" s="4" t="s">
        <v>14</v>
      </c>
    </row>
    <row r="66">
      <c r="A66" s="2">
        <v>45689.0</v>
      </c>
      <c r="B66" s="1" t="s">
        <v>11</v>
      </c>
      <c r="C66" s="1">
        <v>16.0</v>
      </c>
      <c r="D66" s="3">
        <f>IFERROR(__xludf.DUMMYFUNCTION("IF(E66=""USD"", C66 * INDEX(GOOGLEFINANCE(""CURRENCY:USDEUR"", ""price"", A66), 2, 2), C66)"),16.0)</f>
        <v>16</v>
      </c>
      <c r="E66" s="1" t="s">
        <v>12</v>
      </c>
      <c r="F66" s="1" t="s">
        <v>13</v>
      </c>
      <c r="G66" s="4" t="s">
        <v>14</v>
      </c>
    </row>
    <row r="67">
      <c r="A67" s="2">
        <v>45717.0</v>
      </c>
      <c r="B67" s="1" t="s">
        <v>11</v>
      </c>
      <c r="C67" s="1">
        <v>16.0</v>
      </c>
      <c r="D67" s="3">
        <f>IFERROR(__xludf.DUMMYFUNCTION("IF(E67=""USD"", C67 * INDEX(GOOGLEFINANCE(""CURRENCY:USDEUR"", ""price"", A67), 2, 2), C67)"),16.0)</f>
        <v>16</v>
      </c>
      <c r="E67" s="1" t="s">
        <v>12</v>
      </c>
      <c r="F67" s="1" t="s">
        <v>13</v>
      </c>
      <c r="G67" s="4" t="s">
        <v>14</v>
      </c>
    </row>
    <row r="68">
      <c r="A68" s="2">
        <v>45748.0</v>
      </c>
      <c r="B68" s="1" t="s">
        <v>11</v>
      </c>
      <c r="C68" s="1">
        <v>16.0</v>
      </c>
      <c r="D68" s="3">
        <f>IFERROR(__xludf.DUMMYFUNCTION("IF(E68=""USD"", C68 * INDEX(GOOGLEFINANCE(""CURRENCY:USDEUR"", ""price"", A68), 2, 2), C68)"),16.0)</f>
        <v>16</v>
      </c>
      <c r="E68" s="1" t="s">
        <v>12</v>
      </c>
      <c r="F68" s="1" t="s">
        <v>13</v>
      </c>
      <c r="G68" s="4" t="s">
        <v>14</v>
      </c>
    </row>
    <row r="69">
      <c r="A69" s="2">
        <v>45778.0</v>
      </c>
      <c r="B69" s="1" t="s">
        <v>11</v>
      </c>
      <c r="C69" s="1">
        <v>16.0</v>
      </c>
      <c r="D69" s="3">
        <f>IFERROR(__xludf.DUMMYFUNCTION("IF(E69=""USD"", C69 * INDEX(GOOGLEFINANCE(""CURRENCY:USDEUR"", ""price"", A69), 2, 2), C69)"),16.0)</f>
        <v>16</v>
      </c>
      <c r="E69" s="1" t="s">
        <v>12</v>
      </c>
      <c r="F69" s="1" t="s">
        <v>13</v>
      </c>
      <c r="G69" s="4" t="s">
        <v>14</v>
      </c>
    </row>
    <row r="70">
      <c r="A70" s="2">
        <v>45809.0</v>
      </c>
      <c r="B70" s="1" t="s">
        <v>11</v>
      </c>
      <c r="C70" s="1">
        <v>16.0</v>
      </c>
      <c r="D70" s="3">
        <f>IFERROR(__xludf.DUMMYFUNCTION("IF(E70=""USD"", C70 * INDEX(GOOGLEFINANCE(""CURRENCY:USDEUR"", ""price"", A70), 2, 2), C70)"),16.0)</f>
        <v>16</v>
      </c>
      <c r="E70" s="1" t="s">
        <v>12</v>
      </c>
      <c r="F70" s="1" t="s">
        <v>13</v>
      </c>
      <c r="G70" s="4" t="s">
        <v>14</v>
      </c>
    </row>
    <row r="71">
      <c r="A71" s="2">
        <v>45839.0</v>
      </c>
      <c r="B71" s="1" t="s">
        <v>11</v>
      </c>
      <c r="C71" s="1">
        <v>16.0</v>
      </c>
      <c r="D71" s="3">
        <f>IFERROR(__xludf.DUMMYFUNCTION("IF(E71=""USD"", C71 * INDEX(GOOGLEFINANCE(""CURRENCY:USDEUR"", ""price"", A71), 2, 2), C71)"),16.0)</f>
        <v>16</v>
      </c>
      <c r="E71" s="1" t="s">
        <v>12</v>
      </c>
      <c r="F71" s="1" t="s">
        <v>13</v>
      </c>
      <c r="G71" s="4" t="s">
        <v>14</v>
      </c>
    </row>
    <row r="72">
      <c r="A72" s="2">
        <v>45870.0</v>
      </c>
      <c r="B72" s="1" t="s">
        <v>11</v>
      </c>
      <c r="C72" s="1">
        <v>16.0</v>
      </c>
      <c r="D72" s="3">
        <f>IFERROR(__xludf.DUMMYFUNCTION("IF(E72=""USD"", C72 * INDEX(GOOGLEFINANCE(""CURRENCY:USDEUR"", ""price"", A72), 2, 2), C72)"),16.0)</f>
        <v>16</v>
      </c>
      <c r="E72" s="1" t="s">
        <v>12</v>
      </c>
      <c r="F72" s="1" t="s">
        <v>13</v>
      </c>
      <c r="G72" s="4" t="s">
        <v>14</v>
      </c>
    </row>
    <row r="73">
      <c r="A73" s="2">
        <v>45901.0</v>
      </c>
      <c r="B73" s="1" t="s">
        <v>11</v>
      </c>
      <c r="C73" s="1">
        <v>16.0</v>
      </c>
      <c r="D73" s="3">
        <f>IFERROR(__xludf.DUMMYFUNCTION("IF(E73=""USD"", C73 * INDEX(GOOGLEFINANCE(""CURRENCY:USDEUR"", ""price"", A73), 2, 2), C73)"),16.0)</f>
        <v>16</v>
      </c>
      <c r="E73" s="1" t="s">
        <v>12</v>
      </c>
      <c r="F73" s="1" t="s">
        <v>13</v>
      </c>
      <c r="G73" s="4" t="s">
        <v>14</v>
      </c>
    </row>
    <row r="74">
      <c r="A74" s="2">
        <v>45931.0</v>
      </c>
      <c r="B74" s="1" t="s">
        <v>11</v>
      </c>
      <c r="C74" s="1">
        <v>16.0</v>
      </c>
      <c r="D74" s="3">
        <f>IFERROR(__xludf.DUMMYFUNCTION("IF(E74=""USD"", C74 * INDEX(GOOGLEFINANCE(""CURRENCY:USDEUR"", ""price"", A74), 2, 2), C74)"),16.0)</f>
        <v>16</v>
      </c>
      <c r="E74" s="1" t="s">
        <v>12</v>
      </c>
      <c r="F74" s="1" t="s">
        <v>13</v>
      </c>
      <c r="G74" s="4" t="s">
        <v>14</v>
      </c>
    </row>
    <row r="75">
      <c r="A75" s="2">
        <v>45962.0</v>
      </c>
      <c r="B75" s="1" t="s">
        <v>11</v>
      </c>
      <c r="C75" s="1">
        <v>17.0</v>
      </c>
      <c r="D75" s="3">
        <f>IFERROR(__xludf.DUMMYFUNCTION("IF(E75=""USD"", C75 * INDEX(GOOGLEFINANCE(""CURRENCY:USDEUR"", ""price"", A75), 2, 2), C75)"),17.0)</f>
        <v>17</v>
      </c>
      <c r="E75" s="1" t="s">
        <v>12</v>
      </c>
      <c r="F75" s="1" t="s">
        <v>13</v>
      </c>
      <c r="G75" s="4" t="s">
        <v>14</v>
      </c>
    </row>
    <row r="76">
      <c r="A76" s="2">
        <v>45992.0</v>
      </c>
      <c r="B76" s="1" t="s">
        <v>11</v>
      </c>
      <c r="C76" s="1">
        <v>17.0</v>
      </c>
      <c r="D76" s="3">
        <f>IFERROR(__xludf.DUMMYFUNCTION("IF(E76=""USD"", C76 * INDEX(GOOGLEFINANCE(""CURRENCY:USDEUR"", ""price"", A76), 2, 2), C76)"),17.0)</f>
        <v>17</v>
      </c>
      <c r="E76" s="1" t="s">
        <v>12</v>
      </c>
      <c r="F76" s="1" t="s">
        <v>13</v>
      </c>
      <c r="G76" s="4" t="s">
        <v>14</v>
      </c>
    </row>
    <row r="77">
      <c r="A77" s="2">
        <v>46023.0</v>
      </c>
      <c r="B77" s="1" t="s">
        <v>11</v>
      </c>
      <c r="C77" s="1">
        <v>17.0</v>
      </c>
      <c r="D77" s="3">
        <f>IFERROR(__xludf.DUMMYFUNCTION("IF(E77=""USD"", C77 * INDEX(GOOGLEFINANCE(""CURRENCY:USDEUR"", ""price"", A77), 2, 2), C77)"),17.0)</f>
        <v>17</v>
      </c>
      <c r="E77" s="1" t="s">
        <v>12</v>
      </c>
      <c r="F77" s="1" t="s">
        <v>13</v>
      </c>
      <c r="G77" s="4" t="s">
        <v>14</v>
      </c>
    </row>
    <row r="78">
      <c r="A78" s="2">
        <v>46054.0</v>
      </c>
      <c r="B78" s="1" t="s">
        <v>11</v>
      </c>
      <c r="C78" s="1">
        <v>17.0</v>
      </c>
      <c r="D78" s="3">
        <f>IFERROR(__xludf.DUMMYFUNCTION("IF(E78=""USD"", C78 * INDEX(GOOGLEFINANCE(""CURRENCY:USDEUR"", ""price"", A78), 2, 2), C78)"),17.0)</f>
        <v>17</v>
      </c>
      <c r="E78" s="1" t="s">
        <v>12</v>
      </c>
      <c r="F78" s="1" t="s">
        <v>13</v>
      </c>
      <c r="G78" s="4" t="s">
        <v>14</v>
      </c>
    </row>
    <row r="79">
      <c r="A79" s="2">
        <v>46082.0</v>
      </c>
      <c r="B79" s="1" t="s">
        <v>11</v>
      </c>
      <c r="C79" s="1">
        <v>17.0</v>
      </c>
      <c r="D79" s="3">
        <f>IFERROR(__xludf.DUMMYFUNCTION("IF(E79=""USD"", C79 * INDEX(GOOGLEFINANCE(""CURRENCY:USDEUR"", ""price"", A79), 2, 2), C79)"),17.0)</f>
        <v>17</v>
      </c>
      <c r="E79" s="1" t="s">
        <v>12</v>
      </c>
      <c r="F79" s="1" t="s">
        <v>13</v>
      </c>
      <c r="G79" s="4" t="s">
        <v>14</v>
      </c>
    </row>
    <row r="80">
      <c r="A80" s="2">
        <v>44927.0</v>
      </c>
      <c r="B80" s="1" t="s">
        <v>15</v>
      </c>
      <c r="C80" s="1">
        <v>13.93</v>
      </c>
      <c r="D80" s="3">
        <f>IFERROR(__xludf.DUMMYFUNCTION("IF(E80=""USD"", C80 * INDEX(GOOGLEFINANCE(""CURRENCY:USDEUR"", ""price"", A80), 2, 2), C80)"),13.93)</f>
        <v>13.93</v>
      </c>
      <c r="E80" s="1" t="s">
        <v>12</v>
      </c>
      <c r="F80" s="1" t="s">
        <v>13</v>
      </c>
      <c r="G80" s="5" t="s">
        <v>16</v>
      </c>
    </row>
    <row r="81">
      <c r="A81" s="2">
        <v>44958.0</v>
      </c>
      <c r="B81" s="1" t="s">
        <v>15</v>
      </c>
      <c r="C81" s="1">
        <v>13.78</v>
      </c>
      <c r="D81" s="3">
        <f>IFERROR(__xludf.DUMMYFUNCTION("IF(E81=""USD"", C81 * INDEX(GOOGLEFINANCE(""CURRENCY:USDEUR"", ""price"", A81), 2, 2), C81)"),13.78)</f>
        <v>13.78</v>
      </c>
      <c r="E81" s="1" t="s">
        <v>12</v>
      </c>
      <c r="F81" s="1" t="s">
        <v>13</v>
      </c>
      <c r="G81" s="5" t="s">
        <v>17</v>
      </c>
    </row>
    <row r="82">
      <c r="A82" s="2">
        <v>44986.0</v>
      </c>
      <c r="B82" s="1" t="s">
        <v>15</v>
      </c>
      <c r="C82" s="1">
        <v>13.77</v>
      </c>
      <c r="D82" s="3">
        <f>IFERROR(__xludf.DUMMYFUNCTION("IF(E82=""USD"", C82 * INDEX(GOOGLEFINANCE(""CURRENCY:USDEUR"", ""price"", A82), 2, 2), C82)"),13.77)</f>
        <v>13.77</v>
      </c>
      <c r="E82" s="1" t="s">
        <v>12</v>
      </c>
      <c r="F82" s="1" t="s">
        <v>13</v>
      </c>
      <c r="G82" s="5" t="s">
        <v>18</v>
      </c>
    </row>
    <row r="83">
      <c r="A83" s="2">
        <v>45017.0</v>
      </c>
      <c r="B83" s="1" t="s">
        <v>15</v>
      </c>
      <c r="C83" s="1">
        <v>13.75</v>
      </c>
      <c r="D83" s="3">
        <f>IFERROR(__xludf.DUMMYFUNCTION("IF(E83=""USD"", C83 * INDEX(GOOGLEFINANCE(""CURRENCY:USDEUR"", ""price"", A83), 2, 2), C83)"),13.75)</f>
        <v>13.75</v>
      </c>
      <c r="E83" s="1" t="s">
        <v>12</v>
      </c>
      <c r="F83" s="1" t="s">
        <v>13</v>
      </c>
      <c r="G83" s="5" t="s">
        <v>19</v>
      </c>
    </row>
    <row r="84">
      <c r="A84" s="2">
        <v>45047.0</v>
      </c>
      <c r="B84" s="1" t="s">
        <v>15</v>
      </c>
      <c r="C84" s="1">
        <v>13.75</v>
      </c>
      <c r="D84" s="3">
        <f>IFERROR(__xludf.DUMMYFUNCTION("IF(E84=""USD"", C84 * INDEX(GOOGLEFINANCE(""CURRENCY:USDEUR"", ""price"", A84), 2, 2), C84)"),13.75)</f>
        <v>13.75</v>
      </c>
      <c r="E84" s="1" t="s">
        <v>12</v>
      </c>
      <c r="F84" s="1" t="s">
        <v>13</v>
      </c>
      <c r="G84" s="5" t="s">
        <v>20</v>
      </c>
    </row>
    <row r="85">
      <c r="A85" s="2">
        <v>45078.0</v>
      </c>
      <c r="B85" s="1" t="s">
        <v>15</v>
      </c>
      <c r="C85" s="1">
        <v>13.62</v>
      </c>
      <c r="D85" s="3">
        <f>IFERROR(__xludf.DUMMYFUNCTION("IF(E85=""USD"", C85 * INDEX(GOOGLEFINANCE(""CURRENCY:USDEUR"", ""price"", A85), 2, 2), C85)"),13.62)</f>
        <v>13.62</v>
      </c>
      <c r="E85" s="1" t="s">
        <v>12</v>
      </c>
      <c r="F85" s="1" t="s">
        <v>13</v>
      </c>
      <c r="G85" s="5" t="s">
        <v>21</v>
      </c>
    </row>
    <row r="86">
      <c r="A86" s="2">
        <v>45108.0</v>
      </c>
      <c r="B86" s="1" t="s">
        <v>15</v>
      </c>
      <c r="C86" s="1">
        <v>13.4</v>
      </c>
      <c r="D86" s="3">
        <f>IFERROR(__xludf.DUMMYFUNCTION("IF(E86=""USD"", C86 * INDEX(GOOGLEFINANCE(""CURRENCY:USDEUR"", ""price"", A86), 2, 2), C86)"),13.4)</f>
        <v>13.4</v>
      </c>
      <c r="E86" s="1" t="s">
        <v>12</v>
      </c>
      <c r="F86" s="1" t="s">
        <v>13</v>
      </c>
      <c r="G86" s="5" t="s">
        <v>22</v>
      </c>
    </row>
    <row r="87">
      <c r="A87" s="2">
        <v>45139.0</v>
      </c>
      <c r="B87" s="1" t="s">
        <v>15</v>
      </c>
      <c r="C87" s="1">
        <v>13.37</v>
      </c>
      <c r="D87" s="3">
        <f>IFERROR(__xludf.DUMMYFUNCTION("IF(E87=""USD"", C87 * INDEX(GOOGLEFINANCE(""CURRENCY:USDEUR"", ""price"", A87), 2, 2), C87)"),13.37)</f>
        <v>13.37</v>
      </c>
      <c r="E87" s="1" t="s">
        <v>12</v>
      </c>
      <c r="F87" s="1" t="s">
        <v>13</v>
      </c>
      <c r="G87" s="5" t="s">
        <v>23</v>
      </c>
    </row>
    <row r="88">
      <c r="A88" s="2">
        <v>45170.0</v>
      </c>
      <c r="B88" s="1" t="s">
        <v>15</v>
      </c>
      <c r="C88" s="1">
        <v>13.36</v>
      </c>
      <c r="D88" s="3">
        <f>IFERROR(__xludf.DUMMYFUNCTION("IF(E88=""USD"", C88 * INDEX(GOOGLEFINANCE(""CURRENCY:USDEUR"", ""price"", A88), 2, 2), C88)"),13.36)</f>
        <v>13.36</v>
      </c>
      <c r="E88" s="1" t="s">
        <v>12</v>
      </c>
      <c r="F88" s="1" t="s">
        <v>13</v>
      </c>
      <c r="G88" s="5" t="s">
        <v>24</v>
      </c>
    </row>
    <row r="89">
      <c r="A89" s="2">
        <v>45200.0</v>
      </c>
      <c r="B89" s="1" t="s">
        <v>15</v>
      </c>
      <c r="C89" s="1">
        <v>13.36</v>
      </c>
      <c r="D89" s="3">
        <f>IFERROR(__xludf.DUMMYFUNCTION("IF(E89=""USD"", C89 * INDEX(GOOGLEFINANCE(""CURRENCY:USDEUR"", ""price"", A89), 2, 2), C89)"),13.36)</f>
        <v>13.36</v>
      </c>
      <c r="E89" s="1" t="s">
        <v>12</v>
      </c>
      <c r="F89" s="1" t="s">
        <v>13</v>
      </c>
      <c r="G89" s="5" t="s">
        <v>25</v>
      </c>
    </row>
    <row r="90">
      <c r="A90" s="2">
        <v>45231.0</v>
      </c>
      <c r="B90" s="1" t="s">
        <v>15</v>
      </c>
      <c r="C90" s="1">
        <v>13.21</v>
      </c>
      <c r="D90" s="3">
        <f>IFERROR(__xludf.DUMMYFUNCTION("IF(E90=""USD"", C90 * INDEX(GOOGLEFINANCE(""CURRENCY:USDEUR"", ""price"", A90), 2, 2), C90)"),13.21)</f>
        <v>13.21</v>
      </c>
      <c r="E90" s="1" t="s">
        <v>12</v>
      </c>
      <c r="F90" s="1" t="s">
        <v>13</v>
      </c>
      <c r="G90" s="5" t="s">
        <v>26</v>
      </c>
    </row>
    <row r="91">
      <c r="A91" s="2">
        <v>45261.0</v>
      </c>
      <c r="B91" s="1" t="s">
        <v>15</v>
      </c>
      <c r="C91" s="1">
        <v>13.18</v>
      </c>
      <c r="D91" s="3">
        <f>IFERROR(__xludf.DUMMYFUNCTION("IF(E91=""USD"", C91 * INDEX(GOOGLEFINANCE(""CURRENCY:USDEUR"", ""price"", A91), 2, 2), C91)"),13.18)</f>
        <v>13.18</v>
      </c>
      <c r="E91" s="1" t="s">
        <v>12</v>
      </c>
      <c r="F91" s="1" t="s">
        <v>13</v>
      </c>
      <c r="G91" s="5" t="s">
        <v>27</v>
      </c>
    </row>
    <row r="92">
      <c r="A92" s="2">
        <v>45292.0</v>
      </c>
      <c r="B92" s="1" t="s">
        <v>15</v>
      </c>
      <c r="C92" s="1">
        <v>13.15</v>
      </c>
      <c r="D92" s="3">
        <f>IFERROR(__xludf.DUMMYFUNCTION("IF(E92=""USD"", C92 * INDEX(GOOGLEFINANCE(""CURRENCY:USDEUR"", ""price"", A92), 2, 2), C92)"),13.15)</f>
        <v>13.15</v>
      </c>
      <c r="E92" s="1" t="s">
        <v>12</v>
      </c>
      <c r="F92" s="1" t="s">
        <v>13</v>
      </c>
      <c r="G92" s="5" t="s">
        <v>28</v>
      </c>
    </row>
    <row r="93">
      <c r="A93" s="2">
        <v>45323.0</v>
      </c>
      <c r="B93" s="1" t="s">
        <v>15</v>
      </c>
      <c r="C93" s="1">
        <v>13.14</v>
      </c>
      <c r="D93" s="3">
        <f>IFERROR(__xludf.DUMMYFUNCTION("IF(E93=""USD"", C93 * INDEX(GOOGLEFINANCE(""CURRENCY:USDEUR"", ""price"", A93), 2, 2), C93)"),13.14)</f>
        <v>13.14</v>
      </c>
      <c r="E93" s="1" t="s">
        <v>12</v>
      </c>
      <c r="F93" s="1" t="s">
        <v>13</v>
      </c>
      <c r="G93" s="5" t="s">
        <v>29</v>
      </c>
    </row>
    <row r="94">
      <c r="A94" s="2">
        <v>45352.0</v>
      </c>
      <c r="B94" s="1" t="s">
        <v>15</v>
      </c>
      <c r="C94" s="1">
        <v>13.18</v>
      </c>
      <c r="D94" s="3">
        <f>IFERROR(__xludf.DUMMYFUNCTION("IF(E94=""USD"", C94 * INDEX(GOOGLEFINANCE(""CURRENCY:USDEUR"", ""price"", A94), 2, 2), C94)"),13.18)</f>
        <v>13.18</v>
      </c>
      <c r="E94" s="1" t="s">
        <v>12</v>
      </c>
      <c r="F94" s="1" t="s">
        <v>13</v>
      </c>
      <c r="G94" s="5" t="s">
        <v>30</v>
      </c>
    </row>
    <row r="95">
      <c r="A95" s="2">
        <v>45383.0</v>
      </c>
      <c r="B95" s="1" t="s">
        <v>15</v>
      </c>
      <c r="C95" s="1">
        <v>13.13</v>
      </c>
      <c r="D95" s="3">
        <f>IFERROR(__xludf.DUMMYFUNCTION("IF(E95=""USD"", C95 * INDEX(GOOGLEFINANCE(""CURRENCY:USDEUR"", ""price"", A95), 2, 2), C95)"),13.13)</f>
        <v>13.13</v>
      </c>
      <c r="E95" s="1" t="s">
        <v>12</v>
      </c>
      <c r="F95" s="1" t="s">
        <v>13</v>
      </c>
      <c r="G95" s="5" t="s">
        <v>31</v>
      </c>
    </row>
    <row r="96">
      <c r="A96" s="2">
        <v>45413.0</v>
      </c>
      <c r="B96" s="1" t="s">
        <v>15</v>
      </c>
      <c r="C96" s="1">
        <v>13.13</v>
      </c>
      <c r="D96" s="3">
        <f>IFERROR(__xludf.DUMMYFUNCTION("IF(E96=""USD"", C96 * INDEX(GOOGLEFINANCE(""CURRENCY:USDEUR"", ""price"", A96), 2, 2), C96)"),13.13)</f>
        <v>13.13</v>
      </c>
      <c r="E96" s="1" t="s">
        <v>12</v>
      </c>
      <c r="F96" s="1" t="s">
        <v>13</v>
      </c>
      <c r="G96" s="5" t="s">
        <v>32</v>
      </c>
    </row>
    <row r="97">
      <c r="A97" s="2">
        <v>45444.0</v>
      </c>
      <c r="B97" s="1" t="s">
        <v>15</v>
      </c>
      <c r="C97" s="1">
        <v>13.13</v>
      </c>
      <c r="D97" s="3">
        <f>IFERROR(__xludf.DUMMYFUNCTION("IF(E97=""USD"", C97 * INDEX(GOOGLEFINANCE(""CURRENCY:USDEUR"", ""price"", A97), 2, 2), C97)"),13.13)</f>
        <v>13.13</v>
      </c>
      <c r="E97" s="1" t="s">
        <v>12</v>
      </c>
      <c r="F97" s="1" t="s">
        <v>13</v>
      </c>
      <c r="G97" s="5" t="s">
        <v>33</v>
      </c>
    </row>
    <row r="98">
      <c r="A98" s="2">
        <v>45474.0</v>
      </c>
      <c r="B98" s="1" t="s">
        <v>15</v>
      </c>
      <c r="C98" s="1">
        <v>12.99</v>
      </c>
      <c r="D98" s="3">
        <f>IFERROR(__xludf.DUMMYFUNCTION("IF(E98=""USD"", C98 * INDEX(GOOGLEFINANCE(""CURRENCY:USDEUR"", ""price"", A98), 2, 2), C98)"),12.99)</f>
        <v>12.99</v>
      </c>
      <c r="E98" s="1" t="s">
        <v>12</v>
      </c>
      <c r="F98" s="1" t="s">
        <v>13</v>
      </c>
      <c r="G98" s="5" t="s">
        <v>34</v>
      </c>
    </row>
    <row r="99">
      <c r="A99" s="2">
        <v>45505.0</v>
      </c>
      <c r="B99" s="1" t="s">
        <v>15</v>
      </c>
      <c r="C99" s="1">
        <v>12.99</v>
      </c>
      <c r="D99" s="3">
        <f>IFERROR(__xludf.DUMMYFUNCTION("IF(E99=""USD"", C99 * INDEX(GOOGLEFINANCE(""CURRENCY:USDEUR"", ""price"", A99), 2, 2), C99)"),12.99)</f>
        <v>12.99</v>
      </c>
      <c r="E99" s="1" t="s">
        <v>12</v>
      </c>
      <c r="F99" s="1" t="s">
        <v>13</v>
      </c>
      <c r="G99" s="5" t="s">
        <v>35</v>
      </c>
    </row>
    <row r="100">
      <c r="A100" s="2">
        <v>45536.0</v>
      </c>
      <c r="B100" s="1" t="s">
        <v>15</v>
      </c>
      <c r="C100" s="1">
        <v>12.99</v>
      </c>
      <c r="D100" s="3">
        <f>IFERROR(__xludf.DUMMYFUNCTION("IF(E100=""USD"", C100 * INDEX(GOOGLEFINANCE(""CURRENCY:USDEUR"", ""price"", A100), 2, 2), C100)"),12.99)</f>
        <v>12.99</v>
      </c>
      <c r="E100" s="1" t="s">
        <v>12</v>
      </c>
      <c r="F100" s="1" t="s">
        <v>13</v>
      </c>
      <c r="G100" s="5" t="s">
        <v>36</v>
      </c>
    </row>
    <row r="101">
      <c r="A101" s="2">
        <v>45566.0</v>
      </c>
      <c r="B101" s="1" t="s">
        <v>15</v>
      </c>
      <c r="C101" s="1">
        <v>12.79</v>
      </c>
      <c r="D101" s="3">
        <f>IFERROR(__xludf.DUMMYFUNCTION("IF(E101=""USD"", C101 * INDEX(GOOGLEFINANCE(""CURRENCY:USDEUR"", ""price"", A101), 2, 2), C101)"),12.79)</f>
        <v>12.79</v>
      </c>
      <c r="E101" s="1" t="s">
        <v>12</v>
      </c>
      <c r="F101" s="1" t="s">
        <v>13</v>
      </c>
      <c r="G101" s="5" t="s">
        <v>37</v>
      </c>
    </row>
    <row r="102">
      <c r="A102" s="2">
        <v>45597.0</v>
      </c>
      <c r="B102" s="1" t="s">
        <v>15</v>
      </c>
      <c r="C102" s="1">
        <v>12.79</v>
      </c>
      <c r="D102" s="3">
        <f>IFERROR(__xludf.DUMMYFUNCTION("IF(E102=""USD"", C102 * INDEX(GOOGLEFINANCE(""CURRENCY:USDEUR"", ""price"", A102), 2, 2), C102)"),12.79)</f>
        <v>12.79</v>
      </c>
      <c r="E102" s="1" t="s">
        <v>12</v>
      </c>
      <c r="F102" s="1" t="s">
        <v>13</v>
      </c>
      <c r="G102" s="5" t="s">
        <v>38</v>
      </c>
    </row>
    <row r="103">
      <c r="A103" s="2">
        <v>45627.0</v>
      </c>
      <c r="B103" s="1" t="s">
        <v>15</v>
      </c>
      <c r="C103" s="1">
        <v>12.71</v>
      </c>
      <c r="D103" s="3">
        <f>IFERROR(__xludf.DUMMYFUNCTION("IF(E103=""USD"", C103 * INDEX(GOOGLEFINANCE(""CURRENCY:USDEUR"", ""price"", A103), 2, 2), C103)"),12.71)</f>
        <v>12.71</v>
      </c>
      <c r="E103" s="1" t="s">
        <v>12</v>
      </c>
      <c r="F103" s="1" t="s">
        <v>13</v>
      </c>
      <c r="G103" s="5" t="s">
        <v>39</v>
      </c>
    </row>
    <row r="104">
      <c r="A104" s="2">
        <v>45658.0</v>
      </c>
      <c r="B104" s="1" t="s">
        <v>15</v>
      </c>
      <c r="C104" s="1">
        <v>12.79</v>
      </c>
      <c r="D104" s="3">
        <f>IFERROR(__xludf.DUMMYFUNCTION("IF(E104=""USD"", C104 * INDEX(GOOGLEFINANCE(""CURRENCY:USDEUR"", ""price"", A104), 2, 2), C104)"),12.79)</f>
        <v>12.79</v>
      </c>
      <c r="E104" s="1" t="s">
        <v>12</v>
      </c>
      <c r="F104" s="1" t="s">
        <v>13</v>
      </c>
      <c r="G104" s="5" t="s">
        <v>40</v>
      </c>
    </row>
    <row r="105">
      <c r="A105" s="2">
        <v>45689.0</v>
      </c>
      <c r="B105" s="1" t="s">
        <v>15</v>
      </c>
      <c r="C105" s="1">
        <v>12.79</v>
      </c>
      <c r="D105" s="3">
        <f>IFERROR(__xludf.DUMMYFUNCTION("IF(E105=""USD"", C105 * INDEX(GOOGLEFINANCE(""CURRENCY:USDEUR"", ""price"", A105), 2, 2), C105)"),12.79)</f>
        <v>12.79</v>
      </c>
      <c r="E105" s="1" t="s">
        <v>12</v>
      </c>
      <c r="F105" s="1" t="s">
        <v>13</v>
      </c>
      <c r="G105" s="5" t="s">
        <v>41</v>
      </c>
    </row>
    <row r="106">
      <c r="A106" s="2">
        <v>45717.0</v>
      </c>
      <c r="B106" s="1" t="s">
        <v>15</v>
      </c>
      <c r="C106" s="1">
        <v>12.7</v>
      </c>
      <c r="D106" s="3">
        <f>IFERROR(__xludf.DUMMYFUNCTION("IF(E106=""USD"", C106 * INDEX(GOOGLEFINANCE(""CURRENCY:USDEUR"", ""price"", A106), 2, 2), C106)"),12.7)</f>
        <v>12.7</v>
      </c>
      <c r="E106" s="1" t="s">
        <v>12</v>
      </c>
      <c r="F106" s="1" t="s">
        <v>13</v>
      </c>
      <c r="G106" s="5" t="s">
        <v>42</v>
      </c>
    </row>
    <row r="107">
      <c r="A107" s="2">
        <v>45748.0</v>
      </c>
      <c r="B107" s="1" t="s">
        <v>15</v>
      </c>
      <c r="C107" s="1">
        <v>12.68</v>
      </c>
      <c r="D107" s="3">
        <f>IFERROR(__xludf.DUMMYFUNCTION("IF(E107=""USD"", C107 * INDEX(GOOGLEFINANCE(""CURRENCY:USDEUR"", ""price"", A107), 2, 2), C107)"),12.68)</f>
        <v>12.68</v>
      </c>
      <c r="E107" s="1" t="s">
        <v>12</v>
      </c>
      <c r="F107" s="1" t="s">
        <v>13</v>
      </c>
      <c r="G107" s="5" t="s">
        <v>43</v>
      </c>
    </row>
    <row r="108">
      <c r="A108" s="2">
        <v>45778.0</v>
      </c>
      <c r="B108" s="1" t="s">
        <v>15</v>
      </c>
      <c r="C108" s="1">
        <v>12.68</v>
      </c>
      <c r="D108" s="3">
        <f>IFERROR(__xludf.DUMMYFUNCTION("IF(E108=""USD"", C108 * INDEX(GOOGLEFINANCE(""CURRENCY:USDEUR"", ""price"", A108), 2, 2), C108)"),12.68)</f>
        <v>12.68</v>
      </c>
      <c r="E108" s="1" t="s">
        <v>12</v>
      </c>
      <c r="F108" s="1" t="s">
        <v>13</v>
      </c>
      <c r="G108" s="5" t="s">
        <v>44</v>
      </c>
    </row>
    <row r="109">
      <c r="A109" s="2">
        <v>45809.0</v>
      </c>
      <c r="B109" s="1" t="s">
        <v>15</v>
      </c>
      <c r="C109" s="1">
        <v>12.67</v>
      </c>
      <c r="D109" s="3">
        <f>IFERROR(__xludf.DUMMYFUNCTION("IF(E109=""USD"", C109 * INDEX(GOOGLEFINANCE(""CURRENCY:USDEUR"", ""price"", A109), 2, 2), C109)"),12.67)</f>
        <v>12.67</v>
      </c>
      <c r="E109" s="1" t="s">
        <v>12</v>
      </c>
      <c r="F109" s="1" t="s">
        <v>13</v>
      </c>
      <c r="G109" s="5" t="s">
        <v>45</v>
      </c>
    </row>
    <row r="110">
      <c r="A110" s="2">
        <v>45839.0</v>
      </c>
      <c r="B110" s="1" t="s">
        <v>15</v>
      </c>
      <c r="C110" s="1">
        <v>12.63</v>
      </c>
      <c r="D110" s="3">
        <f>IFERROR(__xludf.DUMMYFUNCTION("IF(E110=""USD"", C110 * INDEX(GOOGLEFINANCE(""CURRENCY:USDEUR"", ""price"", A110), 2, 2), C110)"),12.63)</f>
        <v>12.63</v>
      </c>
      <c r="E110" s="1" t="s">
        <v>12</v>
      </c>
      <c r="F110" s="1" t="s">
        <v>13</v>
      </c>
      <c r="G110" s="5" t="s">
        <v>46</v>
      </c>
    </row>
    <row r="111">
      <c r="A111" s="2">
        <v>45870.0</v>
      </c>
      <c r="B111" s="1" t="s">
        <v>15</v>
      </c>
      <c r="C111" s="1">
        <v>12.63</v>
      </c>
      <c r="D111" s="3">
        <f>IFERROR(__xludf.DUMMYFUNCTION("IF(E111=""USD"", C111 * INDEX(GOOGLEFINANCE(""CURRENCY:USDEUR"", ""price"", A111), 2, 2), C111)"),12.63)</f>
        <v>12.63</v>
      </c>
      <c r="E111" s="1" t="s">
        <v>12</v>
      </c>
      <c r="F111" s="1" t="s">
        <v>13</v>
      </c>
      <c r="G111" s="5" t="s">
        <v>47</v>
      </c>
    </row>
    <row r="112">
      <c r="A112" s="2">
        <v>45901.0</v>
      </c>
      <c r="B112" s="1" t="s">
        <v>15</v>
      </c>
      <c r="C112" s="1">
        <v>12.62</v>
      </c>
      <c r="D112" s="3">
        <f>IFERROR(__xludf.DUMMYFUNCTION("IF(E112=""USD"", C112 * INDEX(GOOGLEFINANCE(""CURRENCY:USDEUR"", ""price"", A112), 2, 2), C112)"),12.62)</f>
        <v>12.62</v>
      </c>
      <c r="E112" s="1" t="s">
        <v>12</v>
      </c>
      <c r="F112" s="1" t="s">
        <v>13</v>
      </c>
      <c r="G112" s="5" t="s">
        <v>48</v>
      </c>
    </row>
    <row r="113">
      <c r="A113" s="2">
        <v>45931.0</v>
      </c>
      <c r="B113" s="1" t="s">
        <v>15</v>
      </c>
      <c r="C113" s="1">
        <v>12.64</v>
      </c>
      <c r="D113" s="3">
        <f>IFERROR(__xludf.DUMMYFUNCTION("IF(E113=""USD"", C113 * INDEX(GOOGLEFINANCE(""CURRENCY:USDEUR"", ""price"", A113), 2, 2), C113)"),12.64)</f>
        <v>12.64</v>
      </c>
      <c r="E113" s="1" t="s">
        <v>12</v>
      </c>
      <c r="F113" s="1" t="s">
        <v>13</v>
      </c>
      <c r="G113" s="5" t="s">
        <v>49</v>
      </c>
    </row>
    <row r="114">
      <c r="A114" s="2">
        <v>45962.0</v>
      </c>
      <c r="B114" s="1" t="s">
        <v>15</v>
      </c>
      <c r="C114" s="1">
        <v>12.63</v>
      </c>
      <c r="D114" s="3">
        <f>IFERROR(__xludf.DUMMYFUNCTION("IF(E114=""USD"", C114 * INDEX(GOOGLEFINANCE(""CURRENCY:USDEUR"", ""price"", A114), 2, 2), C114)"),12.63)</f>
        <v>12.63</v>
      </c>
      <c r="E114" s="1" t="s">
        <v>12</v>
      </c>
      <c r="F114" s="1" t="s">
        <v>13</v>
      </c>
      <c r="G114" s="5" t="s">
        <v>50</v>
      </c>
    </row>
    <row r="115">
      <c r="A115" s="2">
        <v>45992.0</v>
      </c>
      <c r="B115" s="1" t="s">
        <v>15</v>
      </c>
      <c r="C115" s="1">
        <v>12.62</v>
      </c>
      <c r="D115" s="3">
        <f>IFERROR(__xludf.DUMMYFUNCTION("IF(E115=""USD"", C115 * INDEX(GOOGLEFINANCE(""CURRENCY:USDEUR"", ""price"", A115), 2, 2), C115)"),12.62)</f>
        <v>12.62</v>
      </c>
      <c r="E115" s="1" t="s">
        <v>12</v>
      </c>
      <c r="F115" s="1" t="s">
        <v>13</v>
      </c>
      <c r="G115" s="5" t="s">
        <v>51</v>
      </c>
    </row>
    <row r="116">
      <c r="A116" s="2">
        <v>46023.0</v>
      </c>
      <c r="B116" s="1" t="s">
        <v>15</v>
      </c>
      <c r="C116" s="1">
        <v>12.6</v>
      </c>
      <c r="D116" s="3">
        <f>IFERROR(__xludf.DUMMYFUNCTION("IF(E116=""USD"", C116 * INDEX(GOOGLEFINANCE(""CURRENCY:USDEUR"", ""price"", A116), 2, 2), C116)"),12.6)</f>
        <v>12.6</v>
      </c>
      <c r="E116" s="1" t="s">
        <v>12</v>
      </c>
      <c r="F116" s="1" t="s">
        <v>13</v>
      </c>
      <c r="G116" s="5" t="s">
        <v>52</v>
      </c>
    </row>
    <row r="117">
      <c r="A117" s="2">
        <v>46054.0</v>
      </c>
      <c r="B117" s="1" t="s">
        <v>15</v>
      </c>
      <c r="C117" s="1">
        <v>12.6</v>
      </c>
      <c r="D117" s="3">
        <f>IFERROR(__xludf.DUMMYFUNCTION("IF(E117=""USD"", C117 * INDEX(GOOGLEFINANCE(""CURRENCY:USDEUR"", ""price"", A117), 2, 2), C117)"),12.6)</f>
        <v>12.6</v>
      </c>
      <c r="E117" s="1" t="s">
        <v>12</v>
      </c>
      <c r="F117" s="1" t="s">
        <v>13</v>
      </c>
      <c r="G117" s="5" t="s">
        <v>53</v>
      </c>
    </row>
    <row r="118">
      <c r="A118" s="2">
        <v>46082.0</v>
      </c>
      <c r="B118" s="1" t="s">
        <v>15</v>
      </c>
      <c r="C118" s="1">
        <v>12.6</v>
      </c>
      <c r="D118" s="3">
        <f>IFERROR(__xludf.DUMMYFUNCTION("IF(E118=""USD"", C118 * INDEX(GOOGLEFINANCE(""CURRENCY:USDEUR"", ""price"", A118), 2, 2), C118)"),12.6)</f>
        <v>12.6</v>
      </c>
      <c r="E118" s="1" t="s">
        <v>12</v>
      </c>
      <c r="F118" s="1" t="s">
        <v>13</v>
      </c>
      <c r="G118" s="5" t="s">
        <v>54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8"/>
</worksheet>
</file>